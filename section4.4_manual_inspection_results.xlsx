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Document\university_courses\Graduate\Research_Project\Research\LLMUnitTestGenEval\"/>
    </mc:Choice>
  </mc:AlternateContent>
  <xr:revisionPtr revIDLastSave="0" documentId="8_{B7D932EB-F4AB-4DF5-B71B-D68FE1B45E76}" xr6:coauthVersionLast="47" xr6:coauthVersionMax="47" xr10:uidLastSave="{00000000-0000-0000-0000-000000000000}"/>
  <bookViews>
    <workbookView xWindow="-110" yWindow="-110" windowWidth="38620" windowHeight="21100" activeTab="1" xr2:uid="{2C089301-721E-4B54-8666-AF83A4C689D2}"/>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 l="1"/>
  <c r="J9" i="1"/>
  <c r="L7" i="2"/>
  <c r="L6" i="2"/>
  <c r="L5" i="2"/>
  <c r="L3" i="2"/>
  <c r="L5" i="1"/>
  <c r="L6" i="1"/>
  <c r="L7" i="1"/>
  <c r="L3" i="1"/>
  <c r="L4" i="2"/>
  <c r="L2" i="2"/>
  <c r="L4" i="1"/>
  <c r="L2" i="1"/>
  <c r="J8" i="1"/>
  <c r="J7" i="1"/>
  <c r="J6" i="1"/>
  <c r="J8" i="2"/>
  <c r="J7" i="2"/>
  <c r="J6" i="2"/>
  <c r="J5" i="2"/>
  <c r="J4" i="2"/>
  <c r="J3" i="2"/>
  <c r="J2" i="2"/>
  <c r="J5" i="1"/>
  <c r="J4" i="1"/>
  <c r="J3" i="1"/>
  <c r="J2" i="1"/>
</calcChain>
</file>

<file path=xl/sharedStrings.xml><?xml version="1.0" encoding="utf-8"?>
<sst xmlns="http://schemas.openxmlformats.org/spreadsheetml/2006/main" count="969" uniqueCount="413">
  <si>
    <t>Signature</t>
    <phoneticPr fontId="1" type="noConversion"/>
  </si>
  <si>
    <t>what is the bug?</t>
    <phoneticPr fontId="1" type="noConversion"/>
  </si>
  <si>
    <t>bug type</t>
    <phoneticPr fontId="1" type="noConversion"/>
  </si>
  <si>
    <t>Did the docstring result in misguided test?</t>
    <phoneticPr fontId="1" type="noConversion"/>
  </si>
  <si>
    <t>Did the docstring result in effective test?</t>
    <phoneticPr fontId="1" type="noConversion"/>
  </si>
  <si>
    <t>id</t>
    <phoneticPr fontId="1" type="noConversion"/>
  </si>
  <si>
    <t>org.jfree.chart.util#ShapeUtilities#equal(java.awt.geom#GeneralPath, java.awt.geom#GeneralPath)'</t>
    <phoneticPr fontId="1" type="noConversion"/>
  </si>
  <si>
    <t>Robustness Omissions</t>
  </si>
  <si>
    <t>Robustness Omissions</t>
    <phoneticPr fontId="1" type="noConversion"/>
  </si>
  <si>
    <t>Contained in the Docstring</t>
    <phoneticPr fontId="1" type="noConversion"/>
  </si>
  <si>
    <t>No</t>
  </si>
  <si>
    <t>No</t>
    <phoneticPr fontId="1" type="noConversion"/>
  </si>
  <si>
    <t>Logical Mistakes</t>
  </si>
  <si>
    <t>Logical Mistakes</t>
    <phoneticPr fontId="1" type="noConversion"/>
  </si>
  <si>
    <t>org.jfree.chart.plot#XYPlot#removeRangeMarker(java.lang#Integer, org.jfree.chart.plot#Marker, org.jfree.chart.util#Layer, java.lang#Boolean)'</t>
    <phoneticPr fontId="1" type="noConversion"/>
  </si>
  <si>
    <t>Buggy code calls remove() on `markers` without checking if `markers` is null:
Buggy:
  boolean removed = markers.remove(marker);
If there is no marker list for the given (index, layer), `get(new Integer(index))`
returns null and this line throws a NullPointerException.
Fixed:
  if (markers == null) {
      return false;
  }
  boolean removed = markers.remove(marker);
So the fix adds a null-check and returns false instead of crashing.</t>
    <phoneticPr fontId="1" type="noConversion"/>
  </si>
  <si>
    <t>why?</t>
    <phoneticPr fontId="1" type="noConversion"/>
  </si>
  <si>
    <t>The docstring explicitly states that if no collection of markers exists for the given
axis index and layer, the method “does nothing and returns false.” That requirement
rules out the buggy behavior (throwing a NullPointerException when `markers` is null).</t>
    <phoneticPr fontId="1" type="noConversion"/>
  </si>
  <si>
    <t>Buggy code creates BOTH path iterators from `p1`, so it accidentally compares `p1` to itself:
- `PathIterator iterator1 = p1.getPathIterator(null);`
- `PathIterator iterator2 = p1.getPathIterator(null);`   // should be p2
Fixed code changes the second line to:
- `PathIterator iterator2 = p2.getPathIterator(null);`
Impact: for any non-null `p1`, the method will almost always return true as long as
winding rules match, even when `p2` has different segments/coordinates, because the
segment-by-segment comparison is between the same path data.</t>
    <phoneticPr fontId="1" type="noConversion"/>
  </si>
  <si>
    <t>The docstring requires comparing the segment sequence and coordinates of `p1` against `p2`.
That intended behavior rules out constructing both iterators from `p1` (which would fail to
compare against `p2` at all).</t>
    <phoneticPr fontId="1" type="noConversion"/>
  </si>
  <si>
    <t>Buggy code concatenates unescaped user input directly into an HTML attribute:
- `return " title=\"" + toolTipText + "\" alt=\"\"";`
Fixed code escapes the input before embedding it into HTML:
- `return " title=\"" + ImageMapUtilities.htmlEscape(toolTipText) + "\" alt=\"\"";`
Impact: special characters (e.g., ", &lt;, &gt;, &amp;) in `toolTipText` can break the HTML
attribute context and enable HTML/JS injection (XSS).</t>
    <phoneticPr fontId="1" type="noConversion"/>
  </si>
  <si>
    <t>The docstring explicitly requires treating input as untrusted and performing HTML escaping
to prevent injection/XSS. That intended behavior rules out the buggy implementation that
inserts `toolTipText` without escaping.</t>
    <phoneticPr fontId="1" type="noConversion"/>
  </si>
  <si>
    <t>org.jfree.chart.plot#CategoryPlot#removeRangeMarker(java.lang#Integer, org.jfree.chart.plot#Marker, org.jfree.chart.util#Layer, java.lang#Boolean)'</t>
    <phoneticPr fontId="1" type="noConversion"/>
  </si>
  <si>
    <t>Buggy code can throw a NullPointerException because it calls `markers.remove(marker)`
even when `markers` is null (i.e., there is no marker list stored for that axis index
and layer).
The problematic statement is:
- `boolean removed = markers.remove(marker);`
Fixed code adds a missing null check right before that call:
- `if (markers == null) { return false; }`
So the fix prevents NPE and correctly returns false when no marker collection exists.</t>
    <phoneticPr fontId="1" type="noConversion"/>
  </si>
  <si>
    <t>Yes</t>
  </si>
  <si>
    <t>Yes</t>
    <phoneticPr fontId="1" type="noConversion"/>
  </si>
  <si>
    <t>The docstring says the method “identifies the collection of markers … and layer” and
returns false if the marker “was found and removed” and false otherwise, but it does not
state what happens when the collection itself does not exist. Without explicitly requiring
a null-safe behavior (e.g., “if no collection exists, return false”), the buggy behavior
(NPE) is still consistent with the docstring as written.</t>
    <phoneticPr fontId="1" type="noConversion"/>
  </si>
  <si>
    <t>Buggy code can throw a NullPointerException when there is no marker collection
for the given axis index + layer, because it unconditionally does:
- `boolean removed = markers.remove(marker);`
But `markers` comes from a map lookup:
- `markers = (ArrayList) this.foregroundDomainMarkers.get(new Integer(index));`
  or
- `markers = (ArrayList) this.backgroundDomainMarkers.get(new Integer(index));`
If the map has no entry, `get(...)` returns null, so `markers.remove(...)` crashes.
Fixed code adds the missing null check:
- `if (markers == null) { return false; }`
before calling `remove`.</t>
    <phoneticPr fontId="1" type="noConversion"/>
  </si>
  <si>
    <t>org.jfree.chart.plot#CategoryPlot#removeDomainMarker(java.lang#Integer, org.jfree.chart.plot#Marker, org.jfree.chart.util#Layer, java.lang#Boolean)'</t>
    <phoneticPr fontId="1" type="noConversion"/>
  </si>
  <si>
    <t>The docstring explicitly requires returning false when “no markers were associated with
the given axis index,” which implies the method must handle `markers == null` safely.
That rules out the buggy behavior (throwing a NullPointerException).</t>
    <phoneticPr fontId="1" type="noConversion"/>
  </si>
  <si>
    <t>org.jfree.chart.plot#XYPlot#removeDomainMarker(java.lang#Integer, org.jfree.chart.plot#Marker, org.jfree.chart.util#Layer, java.lang#Boolean)'</t>
    <phoneticPr fontId="1" type="noConversion"/>
  </si>
  <si>
    <t>Buggy code can throw a NullPointerException because it unconditionally calls
`markers.remove(marker)` even when `markers` is null (i.e., no marker list exists
for the given axis index + layer).
Problem statement:
- `boolean removed = markers.remove(marker);`
Fixed code adds:
- `if (markers == null) { return false; }`
before calling `remove`, so it safely returns false when no marker collection exists.</t>
    <phoneticPr fontId="1" type="noConversion"/>
  </si>
  <si>
    <t>The docstring only says it returns false when the marker is “not found in the collection,”
but it does not explicitly say what happens if the collection itself is missing (i.e.,
`markers == null`). That leaves room for the buggy NPE behavior, so the docstring still
“contains” the bug by not ruling it out.</t>
    <phoneticPr fontId="1" type="noConversion"/>
  </si>
  <si>
    <t>org.jfree.data#DefaultKeyedValues2D#removeColumn(org.jfree.data#Comparable)'</t>
    <phoneticPr fontId="1" type="noConversion"/>
  </si>
  <si>
    <t>Buggy code removes values/keys without validating the input key or whether it exists:
1) Missing null check:
- Buggy: no check for `columnKey == null`
- Fixed: `if (columnKey == null) { throw new IllegalArgumentException(...); }`
2) Missing “unknown key” handling:
- Buggy: always proceeds, even if `columnKey` is not in `this.columnKeys`
- Fixed: `if (!this.columnKeys.contains(columnKey)) { throw new UnknownKeyException(...); }`
3) Unconditional per-row removal:
- Buggy: `rowData.removeValue(columnKey);` is executed for every row, even if that row
  doesn’t contain the key.
- Fixed: checks `int index = rowData.getIndex(columnKey); if (index &gt;= 0) rowData.removeValue(columnKey);`
So the fix adds input validation + existence checks, and avoids removing from rows that
don’t have that key.</t>
    <phoneticPr fontId="1" type="noConversion"/>
  </si>
  <si>
    <t>The docstring says that if `columnKey` is not found, the method “has no effect,” but it
does NOT require throwing an UnknownKeyException. That means the buggy behavior (silently
doing nothing or partially modifying rows/keys depending on internal behavior) is still
compatible with the docstring’s contract, so the docstring still “contains” the bug with
respect to the fixed behavior.</t>
    <phoneticPr fontId="1" type="noConversion"/>
  </si>
  <si>
    <t>org.jfree.data#DefaultKeyedValues#removeValue(org.jfree.data#Comparable)'</t>
    <phoneticPr fontId="1" type="noConversion"/>
  </si>
  <si>
    <t>org.jfree.chart.plot#CategoryPlot#getDomainAxisIndex(org.jfree.chart.axis#CategoryAxis)'</t>
    <phoneticPr fontId="1" type="noConversion"/>
  </si>
  <si>
    <t>Buggy code does not validate the input `axis` and will silently accept null:
- Buggy: `return this.domainAxes.indexOf(axis);`  // with axis == null, returns the index of a null entry or -1
- Fixed: adds `if (axis == null) { throw new IllegalArgumentException("Null 'axis' argument."); }`
So the bug is the missing null check / missing required exception for null input.</t>
    <phoneticPr fontId="1" type="noConversion"/>
  </si>
  <si>
    <t>The docstring explicitly states `axis` must not be null and that the method throws
IllegalArgumentException when `axis` is null, which rules out the buggy behavior of
silently returning an index (or -1) for a null argument.</t>
    <phoneticPr fontId="1" type="noConversion"/>
  </si>
  <si>
    <t>org.jfree.chart.plot#CategoryPlot#getRangeAxisIndex(org.jfree.chart.axis#ValueAxis)'</t>
    <phoneticPr fontId="1" type="noConversion"/>
  </si>
  <si>
    <t>Buggy code is missing a null check for `axis`.
- Buggy starts with: `int result = this.rangeAxes.indexOf(axis);`
  so if `axis == null`, it will silently search for null (and may return -1 or
  a valid index if null is present), instead of rejecting the input.
Fixed code adds:
- `if (axis == null) { throw new IllegalArgumentException("Null 'axis' argument."); }`
before doing any lookup / parent delegation.</t>
    <phoneticPr fontId="1" type="noConversion"/>
  </si>
  <si>
    <t>The docstring explicitly says `axis` must not be null and that the method throws
IllegalArgumentException when `axis` is null, which rules out the buggy behavior of
silently accepting a null argument.</t>
    <phoneticPr fontId="1" type="noConversion"/>
  </si>
  <si>
    <t>org.jfree.chart.renderer#GrayPaintScale#getPaint(java.lang#Double)'</t>
    <phoneticPr fontId="1" type="noConversion"/>
  </si>
  <si>
    <t>Buggy code computes the gray level `g` using the original `value` instead of the
clamped value `v`.
Buggy line:
- `int g = (int) ((value - this.lowerBound) / (this.upperBound - this.lowerBound) * 255.0);`
Fixed line:
- `int g = (int) ((v - this.lowerBound) / (this.upperBound - this.lowerBound) * 255.0);`
Impact: even though `v` is clamped into [lowerBound, upperBound], the returned color is
computed from the unclamped `value`, so out-of-range inputs can produce g &lt; 0 or g &gt; 255
(and thus an incorrect color / possible runtime error depending on Color handling).</t>
    <phoneticPr fontId="1" type="noConversion"/>
  </si>
  <si>
    <t>The docstring explicitly requires clamping out-of-range inputs so values below the lower
bound map to black and above the upper bound map to white. Using `value` instead of the
clamped `v` violates that intended behavior.</t>
    <phoneticPr fontId="1" type="noConversion"/>
  </si>
  <si>
    <t>In the `includeInterval &amp;&amp; dataset instanceof IntervalXYDataset` branch, the buggy code
updates bounds asymmetrically:
- It uses `lvalue = getStartYValue(...)` ONLY to update `minimum`
  (`minimum = Math.min(minimum, lvalue);`)
- It uses `uvalue = getEndYValue(...)` ONLY to update `maximum`
  (`maximum = Math.max(maximum, uvalue);`)
- It does NOT consider the regular `getYValue(...)` at all.
Fixed code corrects this by also reading `value = ixyd.getYValue(series, item)` and by
treating `value`, `lvalue`, and `uvalue` as candidates for BOTH bounds (min and max):
- if (!NaN(value)) { minimum=min(minimum,value); maximum=max(maximum,value); }
- if (!NaN(lvalue)) { minimum=min(minimum,lvalue); maximum=max(maximum,lvalue); }
- if (!NaN(uvalue)) { minimum=min(minimum,uvalue); maximum=max(maximum,uvalue); }
So the buggy version can compute an incorrect range for IntervalXYDataset (e.g., if
start/end are not ordered as expected, or if the main Y value lies outside the interval
endpoints).</t>
    <phoneticPr fontId="1" type="noConversion"/>
  </si>
  <si>
    <t>The docstring says it “calculates the minimum and maximum values” and (when intervals are
included) “consider[s] the full interval … start/end Y-values.” That implies the returned
range should truly reflect the min/max over the relevant interval values, which the buggy
implementation can fail to do due to its asymmetric updates and omission of `getYValue`.</t>
    <phoneticPr fontId="1" type="noConversion"/>
  </si>
  <si>
    <t>org.jfree.data.general#DatasetUtilities#iterateRangeBounds(org.jfree.data.xy#XYDataset, java.lang#Boolean)'</t>
    <phoneticPr fontId="1" type="noConversion"/>
  </si>
  <si>
    <t>org.jfree.data.general#DatasetUtilities#iterateDomainBounds(org.jfree.data.xy#XYDataset, java.lang#Boolean)'</t>
    <phoneticPr fontId="1" type="noConversion"/>
  </si>
  <si>
    <t>In the `includeInterval &amp;&amp; dataset instanceof IntervalXYDataset` branch, the buggy code
updates bounds asymmetrically and ignores the dataset’s main X value:
Buggy branch only does:
- `lvalue = getStartXValue(...)` -&gt; updates ONLY `minimum`
- `uvalue = getEndXValue(...)`   -&gt; updates ONLY `maximum`
It never considers `intervalXYData.getXValue(series, item)`, and it never lets `lvalue`
affect `maximum` or `uvalue` affect `minimum`.
Fixed code adds:
- `double value = intervalXYData.getXValue(series, item);`
and then treats `value`, `lvalue`, and `uvalue` as candidates for BOTH min and max:
- update (min,max) with `value`
- update (min,max) with `lvalue`
- update (min,max) with `uvalue`
So the buggy version can compute an incorrect domain range for IntervalXYDataset
(e.g., if start/end are not ordered, or if `getXValue()` lies outside start/end).</t>
    <phoneticPr fontId="1" type="noConversion"/>
  </si>
  <si>
    <t>The docstring says the range should “fully encompass all intervals” when
`includeInterval` is true for an IntervalXYDataset. That implies a true min/max over the
relevant interval values, which the buggy asymmetric update can violate.</t>
    <phoneticPr fontId="1" type="noConversion"/>
  </si>
  <si>
    <t>'org.jfree.data.xy#XYSeries#addOrUpdate(org.jfree.data.xy#Number, org.jfree.data.xy#Number)'</t>
  </si>
  <si>
    <t>'org.apache.commons.cli#CommandLine#hasOption(java.lang#String)'</t>
  </si>
  <si>
    <t>Buggy code checks the map using the raw input string `opt`:
- `return options.containsKey(opt);`
But options may be stored/canonicalized differently (e.g., normalized short/long names).
So looking up the raw `opt` can incorrectly return false even when the option is present.
Fixed code resolves/canonicalizes the option name before checking:
- `return options.contains(resolveOption(opt));`
(so it checks the normalized/actual key used internally).</t>
    <phoneticPr fontId="1" type="noConversion"/>
  </si>
  <si>
    <t>The docstring promises the method works for both short and long option names. That requires
mapping the provided string to the internal representation (as `resolveOption(opt)` does).
The buggy implementation may fail that requirement by only checking the raw key.</t>
    <phoneticPr fontId="1" type="noConversion"/>
  </si>
  <si>
    <t>org.apache.commons.cli#Util#stripLeadingAndTrailingQuotes(java.lang#String)'</t>
    <phoneticPr fontId="1" type="noConversion"/>
  </si>
  <si>
    <t>Buggy code strips quotes independently on each side:
- If `str.startsWith("\"")`, it removes the first character:
  `str = str.substring(1, str.length());`
- Then if the (possibly modified) string `str.endsWith("\"")`, it removes the last character:
  `str = str.substring(0, length - 1);`
This means it will:
1) Strip a *single* leading quote even when there is no trailing quote (and vice-versa), and
2) Strip outer quotes even when there are additional quotes inside the string.
Fixed code changes the logic to strip ONLY when:
- length &gt; 1,
- the string starts AND ends with `"`,
- and the inside part contains no `"` at all
  (`str.substring(1, length - 1).indexOf('"') == -1`),
then it removes both outer quotes at once:
- `str = str.substring(1, length - 1);`</t>
    <phoneticPr fontId="1" type="noConversion"/>
  </si>
  <si>
    <t>The docstring explicitly says it “handles cases where quotes are only on one side” and
that it removes “only the outermost quotes” (e.g., `""hello""` -&gt; `"hello"`). Those
statements align with the buggy behavior (stripping one-sided/outermost quotes) and
contradict the fixed behavior (strip only when both sides exist and there are no inner
quotes), so the docstring still allows/encodes the buggy semantics.</t>
    <phoneticPr fontId="1" type="noConversion"/>
  </si>
  <si>
    <t>com.google.javascript.rhino#IR#tryFinally(com.google.javascript.rhino#Node, com.google.javascript.rhino#Node)'</t>
    <phoneticPr fontId="1" type="noConversion"/>
  </si>
  <si>
    <t>Buggy code validates the wrong node type for `tryBody` and `finallyBody`.
Buggy checks:
- `Preconditions.checkState(tryBody.isLabelName());`
- `Preconditions.checkState(finallyBody.isLabelName());`
But a `try...finally` requires statement *blocks* as children, not label-name nodes.
Fixed code corrects the validation to require BLOCK nodes:
- `Preconditions.checkState(tryBody.isBlock());`
- `Preconditions.checkState(finallyBody.isBlock());`
Impact: the buggy version can reject valid inputs (BLOCK nodes) and/or allow invalid
inputs (LABEL_NAME nodes), producing an AST with the wrong child node types.</t>
    <phoneticPr fontId="1" type="noConversion"/>
  </si>
  <si>
    <t>The docstring explicitly states both parameters “must be a non-null BLOCK node” and that
the TRY node structure uses blocks. That rules out the buggy behavior of requiring
LABEL_NAME nodes.</t>
    <phoneticPr fontId="1" type="noConversion"/>
  </si>
  <si>
    <t>com.google.javascript.jscomp#NodeUtil#isValidDefineValue(com.google.javascript.rhino#Node, com.google.javascript.jscomp#Set&lt;String&gt;)'</t>
    <phoneticPr fontId="1" type="noConversion"/>
  </si>
  <si>
    <t>In the “binary operator” handling, the buggy code is wrong in two ways:
1) It does NOT validate both operands for binary expressions.
   Buggy code groups BITAND/BITOR/BITXOR (and others) under “Binary operators…”
   but returns only:
   `return isValidDefineValue(val.getFirstChild(), defines);`
   This ignores the right operand entirely, so an expression like `A | (invalid)`
   can be incorrectly accepted.
2) It is missing many binary operators that should be allowed (and treated as binary),
   and it misses unary POS.
   Fixed code adds many tokens (ADD, SUB, MUL, DIV, comparisons, shifts, etc.) and
   changes the binary case to:
   `isValidDefineValue(firstChild) &amp;&amp; isValidDefineValue(lastChild)`,
   and adds Token.POS as a unary operator.</t>
    <phoneticPr fontId="1" type="noConversion"/>
  </si>
  <si>
    <t>The docstring states that for unary/binary expressions, *all operands* must be valid,
and it explicitly allows common arithmetic/bitwise/logical-style operators. The buggy
implementation violates that contract by (a) checking only one operand for binary ops
and (b) not supporting many operators that should be valid.</t>
    <phoneticPr fontId="1" type="noConversion"/>
  </si>
  <si>
    <t>'org.apache.commons.codec.language#DoubleMetaphone#isDoubleMetaphoneEqual(org.apache.commons.codec.language#final String, org.apache.commons.codec.language#final String, org.apache.commons.codec.language#final boolean)'</t>
  </si>
  <si>
    <t>Buggy code calls `.equals(...)` on the result of `doubleMetaphone(value1, alternate)`:
- `doubleMetaphone(value1, alternate).equals(doubleMetaphone(value2, alternate))`
If `doubleMetaphone(value1, alternate)` returns null (e.g., when input is null/empty),
this throws a NullPointerException.
Fixed code uses a null-safe comparison:
- `StringUtils.equals(doubleMetaphone(value1, alternate), doubleMetaphone(value2, alternate))`
which returns true if both are null, false if only one is null, and otherwise compares
the strings normally.</t>
    <phoneticPr fontId="1" type="noConversion"/>
  </si>
  <si>
    <t>The docstring explicitly states the method is robust to null/empty inputs and that two
null/empty inputs are considered equal. That requires a null-safe comparison, so the
buggy NPE behavior is ruled out by the docstring.</t>
    <phoneticPr fontId="1" type="noConversion"/>
  </si>
  <si>
    <t>org.apache.commons.codec.binary#StringUtils#newStringIso8859_1(org.apache.commons.codec.binary#final byte[])'</t>
    <phoneticPr fontId="1" type="noConversion"/>
  </si>
  <si>
    <t>Buggy code directly constructs a String from `bytes`:
- `return new String(bytes, Charsets.ISO_8859_1);`
If `bytes` is null, `new String(null, ...)` throws a NullPointerException.
Fixed code delegates to a helper that is (intended to be) null-safe:
- `return newString(bytes, Charsets.ISO_8859_1);`
which returns null when `bytes` is null.</t>
    <phoneticPr fontId="1" type="noConversion"/>
  </si>
  <si>
    <t>The docstring explicitly says the method is “null-safe” and returns null if the input
byte array is null. That rules out the buggy behavior of throwing a NullPointerException.</t>
    <phoneticPr fontId="1" type="noConversion"/>
  </si>
  <si>
    <t>org.apache.commons.compress.archivers.tar#TarUtils#parseOctal(org.apache.commons.compress.archivers.tar#final byte[], org.apache.commons.compress.archivers.tar#final int, org.apache.commons.compress.archivers.tar#final int)'</t>
    <phoneticPr fontId="1" type="noConversion"/>
  </si>
  <si>
    <t>The buggy code *requires* the last byte of the field to be a NUL or space terminator,
and throws if it is not:
- Buggy:
  `byte trailer = buffer[end - 1];`
  `if (trailer == 0 || trailer == ' ') { end--; } else { throw ... }`
So a TAR variant that uses the full field width (i.e., ends with an octal digit) will
incorrectly trigger an IllegalArgumentException.
The fixed code removes this “must-have-terminator” requirement and instead trims any
trailing NULs/spaces *only if present*:
- Fixed:
  `byte trailer = buffer[end - 1];`
  `while (start &lt; end &amp;&amp; (trailer == 0 || trailer == ' ')) { end--; trailer = buffer[end - 1]; }`
This allows parsing digits up to the end of the field when no terminator is present.</t>
    <phoneticPr fontId="1" type="noConversion"/>
  </si>
  <si>
    <t>The docstring explicitly says the parser “does not require a terminator” and will
“parse digits up to the end of the specified length.” That directly contradicts the
buggy behavior that throws when the last byte isn’t a trailing NUL/space.</t>
    <phoneticPr fontId="1" type="noConversion"/>
  </si>
  <si>
    <t>org.apache.commons.compress.utils#IOUtils#skip(java.io#InputStream, java.lang#Long)'</t>
    <phoneticPr fontId="1" type="noConversion"/>
  </si>
  <si>
    <t>Buggy code stops skipping as soon as `InputStream.skip(numToSkip)` returns 0:
- `long skipped = input.skip(numToSkip);`
- `if (skipped == 0) { break; }`
But `skip()` is allowed to return 0 even when the stream has not reached EOF (some
streams “stall” on skip). So the buggy method can return having skipped fewer bytes
than requested even though more bytes were still available.
Fixed code addresses this by, when `numToSkip &gt; 0` remains after the skip loop, falling
back to reading and discarding bytes using a buffer:
- allocate `skipBuf`
- repeatedly `readFully(...)` up to `min(numToSkip, SKIP_BUF_SIZE)`
- decrement `numToSkip` by the number of bytes actually read
This ensures skipping continues until the requested count is met or EOF is reached.</t>
    <phoneticPr fontId="1" type="noConversion"/>
  </si>
  <si>
    <t>The docstring explicitly requires persistence until the requested count is met (or EOF),
and specifically notes handling streams where `skip()` returns 0 without being at EOF.
That rules out the buggy behavior of breaking immediately when `skipped == 0`.</t>
    <phoneticPr fontId="1" type="noConversion"/>
  </si>
  <si>
    <t>Buggy code throws an IllegalArgumentException when the field becomes “empty” after
trimming (i.e., the segment contains only spaces/NULs after skipping leading spaces):
- Buggy:
  `if (start == end) { throw new IllegalArgumentException(...); }`
Fixed code removes this check entirely, so when `start == end` the loop parses no digits
and returns `result` (which remains 0).
Impact: an octal field made up entirely of spaces and/or NULs should parse as 0, but the
buggy version throws instead.</t>
    <phoneticPr fontId="1" type="noConversion"/>
  </si>
  <si>
    <t>The docstring explicitly says “A field composed entirely of NULs and/or spaces is
correctly interpreted as zero.” That contract rules out the buggy behavior of throwing
when the trimmed field is empty.</t>
    <phoneticPr fontId="1" type="noConversion"/>
  </si>
  <si>
    <t>org.apache.commons.compress.compressors.bzip2#BZip2CompressorInputStream#read(org.apache.commons.compress.compressors.bzip2#final byte[], org.apache.commons.compress.compressors.bzip2#final int, org.apache.commons.compress.compressors.bzip2#final int)'</t>
    <phoneticPr fontId="1" type="noConversion"/>
  </si>
  <si>
    <t>Buggy code does not handle the `len == 0` case correctly.
In the buggy version, when `len == 0`:
- `hi = offs + len` equals `offs`, so the while-loop never runs
- then it returns:
  `int c = (destOffs == offs) ? -1 : (destOffs - offs);`
  which becomes `-1`
But `InputStream.read(byte[], off, 0)` must return 0 immediately.
Fixed code adds the missing check right after the “stream closed” check:
- `if (len == 0) { return 0; }`</t>
    <phoneticPr fontId="1" type="noConversion"/>
  </si>
  <si>
    <t>The docstring explicitly states: “If zero, the method returns 0 immediately.”
That rules out the buggy behavior of returning -1 when `len == 0`.</t>
    <phoneticPr fontId="1" type="noConversion"/>
  </si>
  <si>
    <t>Buggy code stops parsing when it sees an embedded NUL byte inside the (already trimmed) field:
- Buggy:
  `if (currentByte == 0) { break; }`
Fixed code removes this early-exit. As a result, an embedded NUL is no longer treated as a
valid “terminator”; instead it will fail the octal-digit check (`currentByte &lt; '0'`)
and throw an IllegalArgumentException.
Impact: the buggy version can silently accept/truncate malformed fields like
"123\0XYZ" and return 83 (octal 123) while ignoring the remaining garbage, whereas the
fixed version rejects such input.</t>
    <phoneticPr fontId="1" type="noConversion"/>
  </si>
  <si>
    <t>The docstring explicitly states: “Parsing ... stops at the first NUL character ('\0')
encountered, even if it appears before the end of the trimmed field.” That describes the
buggy behavior (breaking on embedded NUL) and conflicts with the fixed behavior (treating
embedded NUL as invalid), so the docstring still encodes the bug.</t>
    <phoneticPr fontId="1" type="noConversion"/>
  </si>
  <si>
    <t>org.apache.commons.compress.archivers.tar#TarArchiveOutputStream#putArchiveEntry(org.apache.commons.compress.archivers#ArchiveEntry)'</t>
    <phoneticPr fontId="1" type="noConversion"/>
  </si>
  <si>
    <t>Buggy code fails to mark that an entry has been opened (and is currently unclosed).
Difference:
- Buggy: does NOT set any “entry is open” flag after writing the header
- Fixed: adds `haveUnclosedEntry = true;` at the end of `putArchiveEntry(...)`
Impact: without setting this flag, the stream may not detect/enforce “previous entry not closed”
cases (e.g., allowing another entry to start or allowing close semantics to be wrong), because
the internal state never records that there is an unclosed current entry.</t>
    <phoneticPr fontId="1" type="noConversion"/>
  </si>
  <si>
    <t>The docstring explicitly requires that an entry “must be explicitly closed” before writing
the next entry, and says an IOException is thrown “if a previous entry has not been closed.”
That contract implies the implementation must track an “unclosed entry” state—exactly what
the missing `haveUnclosedEntry = true` prevents.</t>
    <phoneticPr fontId="1" type="noConversion"/>
  </si>
  <si>
    <t>org.apache.commons.compress.archivers.zip#ZipArchiveInputStream#getNextZipEntry()'</t>
    <phoneticPr fontId="1" type="noConversion"/>
  </si>
  <si>
    <t>Buggy code mishandles record signatures when it encounters the Central Directory (or AED)
and when it encounters an unexpected signature.
1) Central Directory / AED case:
- Buggy sets `hitCentralDirectory = true` and calls `skipRemainderOfArchive()`,
  but then continues executing and may still return something (it only later returns null
  if `!sig.equals(LFH_SIG)`).
- Fixed explicitly returns null immediately after skipping:
  `hitCentralDirectory = true; skipRemainderOfArchive(); return null;`
2) Unexpected signature case:
- Buggy silently returns null for any non-LFH signature:
  `if (!sig.equals(ZipLong.LFH_SIG)) { return null; }`
  This can hide corruption/malformed archives.
- Fixed throws a ZipException with a clear message:
  `throw new ZipException(String.format("Unexpected record signature: 0X%X", sig.getValue()));`</t>
    <phoneticPr fontId="1" type="noConversion"/>
  </si>
  <si>
    <t>The docstring says the method returns null when the Central Directory signature is reached,
and it says malformed/corrupted archives should result in a ZipException. That rules out
the buggy behavior of silently returning null on unexpected signatures and not cleanly
terminating immediately on Central Directory/AED detection.</t>
    <phoneticPr fontId="1" type="noConversion"/>
  </si>
  <si>
    <t>org.apache.commons.compress.archivers.zip#ZipArchiveInputStream#canReadEntryData(org.apache.commons.compress.archivers.zip#final ArchiveEntry)'</t>
    <phoneticPr fontId="1" type="noConversion"/>
  </si>
  <si>
    <t>Buggy code is missing a required capability check for entries whose compressed size
handling is not supported.
Buggy return condition:
- `ZipUtil.canHandleEntryData(ze) &amp;&amp; supportsDataDescriptorFor(ze);`
Fixed code adds an additional check:
- `&amp;&amp; supportsCompressedSizeFor(ze);`
Impact: the buggy method can return true for a ZipArchiveEntry that this stream cannot
actually read because its compressed-size characteristics aren’t supported (even though
the method and data-descriptor conditions pass).</t>
    <phoneticPr fontId="1" type="noConversion"/>
  </si>
  <si>
    <t>The docstring lists the conditions that must all be met, but it does not mention any
requirement about the entry’s compressed size needing to be supported/known. Since it
doesn’t rule out (or require) a `supportsCompressedSizeFor` check, the buggy behavior
(returning true without that check) is still compatible with the docstring.</t>
    <phoneticPr fontId="1" type="noConversion"/>
  </si>
  <si>
    <t>org.apache.commons.compress.archivers.tar#TarArchiveOutputStream#close()'</t>
    <phoneticPr fontId="1" type="noConversion"/>
  </si>
  <si>
    <t>Buggy code calls `finish()` inside `close()`:
- Buggy: `finish(); buffer.close(); out.close();`
If `finish()` throws an IOException while writing the end-of-archive records, the method
exits immediately and never executes `buffer.close()` / `out.close()`, potentially leaking
resources (e.g., leaving the underlying stream/file handle open).
Fixed code removes the `finish()` call from `close()`:
- Fixed: `buffer.close(); out.close(); closed = true;`
So `close()` now focuses on reliably closing resources even if finalization might fail
elsewhere.</t>
    <phoneticPr fontId="1" type="noConversion"/>
  </si>
  <si>
    <t>The docstring explicitly requires that `close()` must attempt to close the underlying
stream even if an error occurs while writing end-of-archive records. The buggy
implementation can skip closing if `finish()` throws, so it violates the docstring’s
resource-management requirement.</t>
    <phoneticPr fontId="1" type="noConversion"/>
  </si>
  <si>
    <t>org.apache.commons.compress.archivers.zip#ZipArchiveOutputStream#close()'</t>
    <phoneticPr fontId="1" type="noConversion"/>
  </si>
  <si>
    <t>Buggy `close()` calls `finish()` before closing the underlying target:
- `finish();`
- then `raf.close()` / `out.close()`
If `finish()` throws an IOException, the method exits immediately and never closes
`raf`/`out`, violating the requirement to always attempt closing (risking a resource leak).
Fixed code removes the `finish()` call from `close()` and just closes resources:
- `raf.close()` and/or `out.close()`</t>
    <phoneticPr fontId="1" type="noConversion"/>
  </si>
  <si>
    <t>The docstring explicitly says `close()` “will first call finish()” to produce a valid ZIP.
That statement matches the buggy behavior and contradicts the fixed behavior (which no longer
calls finish in close). So the docstring still encodes the buggy semantics and does not
reflect the safer fixed design.</t>
    <phoneticPr fontId="1" type="noConversion"/>
  </si>
  <si>
    <t>org.apache.commons.csv#CSVFormat#validate()'</t>
    <phoneticPr fontId="1" type="noConversion"/>
  </si>
  <si>
    <t>Buggy code rejects CSV formats whose header contains duplicate column names, by checking:
- `if (header != null) { ... if (set.size() != header.length) throw ... }`
Fixed code removes the entire “duplicate header names” validation block, meaning
duplicate header names are no longer considered an invalid configuration by `validate()`.</t>
    <phoneticPr fontId="1" type="noConversion"/>
  </si>
  <si>
    <t>The docstring explicitly requires: “If a header is specified, all header names ... must be
unique.” That matches the buggy behavior (throw on duplicates) and contradicts the fixed
behavior (no longer checking), so the docstring still encodes the buggy contract.</t>
    <phoneticPr fontId="1" type="noConversion"/>
  </si>
  <si>
    <t>com.fasterxml.jackson.core.util#TextBuffer#expandCurrentSegment()'</t>
    <phoneticPr fontId="1" type="noConversion"/>
  </si>
  <si>
    <t>Buggy code can stop growing (or grow incorrectly) at the maximum size because it caps
the new length to MAX_SEGMENT_LEN, and has a special-case jump:
- `newLen = (len == MAX_SEGMENT_LEN) ? (MAX_SEGMENT_LEN+1)
          : Math.min(MAX_SEGMENT_LEN, len + (len &gt;&gt; 1));`
So when `len` is close to MAX_SEGMENT_LEN, `Math.min(...)` can clamp `newLen` to exactly
MAX_SEGMENT_LEN (no room to grow beyond it), and when `len == MAX_SEGMENT_LEN` it jumps
to `MAX_SEGMENT_LEN + 1` (contradicting the idea of “slow to increase by 25%”).
Fixed code implements the intended policy: grow by 50% normally, but if that would exceed
MAX_SEGMENT_LEN, grow more slowly by 25% instead:
- `newLen = len + (len &gt;&gt; 1);`
- `if (newLen &gt; MAX_SEGMENT_LEN) { newLen = len + (len &gt;&gt; 2); }`</t>
    <phoneticPr fontId="1" type="noConversion"/>
  </si>
  <si>
    <t>The docstring claims the new segment “will not exceed MAX_SEGMENT_LEN” and will be “capped
at MAX_SEGMENT_LEN” when growth exceeds the limit. That matches the buggy capping behavior,
but contradicts the fixed behavior, which can grow beyond MAX_SEGMENT_LEN (it merely slows
growth once the computed size would exceed it). So the docstring still reflects the buggy
contract rather than the fixed one.</t>
    <phoneticPr fontId="1" type="noConversion"/>
  </si>
  <si>
    <t>com.fasterxml.jackson.databind.node#TreeTraversingParser#getLongValue()'</t>
    <phoneticPr fontId="1" type="noConversion"/>
  </si>
  <si>
    <t>Buggy code returns `node.longValue()` without checking whether the numeric value can be
safely represented, so overflow is not detected/reported.
Buggy:
- `return node.longValue();`
Fixed adds an overflow guard before returning:
- `if (!node.canConvertToInt()) { reportOverflowLong(); }`
- then returns `node.longValue();`
So the fix ensures an out-of-range value triggers an overflow report instead of silently
returning a wrapped/truncated long.</t>
    <phoneticPr fontId="1" type="noConversion"/>
  </si>
  <si>
    <t>The docstring explicitly says that for values outside the range of a long, the value may
be “truncated or wrapped ... potentially resulting in data loss.” That matches the buggy
behavior (no overflow reporting) and conflicts with the fixed behavior (detect/report
overflow), so the docstring still encodes the buggy semantics.</t>
    <phoneticPr fontId="1" type="noConversion"/>
  </si>
  <si>
    <t>com.fasterxml.jackson.databind#ObjectReader#readTree(java.io#JsonParser)'</t>
    <phoneticPr fontId="1" type="noConversion"/>
  </si>
  <si>
    <t>Buggy code binds using `_bindAsTree(p)`:
- `return (T) _bindAsTree(p);`
This can fail to return `null` when the parser has no next token (end-of-input), because
`_bindAsTree` expects there to be content and typically throws or produces a non-null node.
Fixed code uses `_bindAsTreeOrNull(p)` instead:
- `return (T) _bindAsTreeOrNull(p);`
which handles the “no next token / empty input” case by returning `null` as the contract
intends.</t>
    <phoneticPr fontId="1" type="noConversion"/>
  </si>
  <si>
    <t>The docstring explicitly specifies: “Returns null only if the parser's next token is null.”
That requires a null-aware binding path like `_bindAsTreeOrNull`. The buggy implementation
doesn’t ensure that behavior, so it’s ruled out by the docstring.</t>
    <phoneticPr fontId="1" type="noConversion"/>
  </si>
  <si>
    <t>com.fasterxml.jackson.databind#MappingIterator#hasNextValue()'</t>
    <phoneticPr fontId="1" type="noConversion"/>
  </si>
  <si>
    <t>Buggy implementation uses a single boolean cache (`_hasNextChecked`) and only consults
`_parser.getCurrentToken()` / `_parser.nextToken()` once, but it has no notion of the
iterator’s internal iteration state (e.g., “needs resync”, “has cached value”, “closed”).
Fixed code replaces this with an explicit `_state` machine:
- handles `STATE_NEED_RESYNC` by calling `_resync()`
- handles end-of-stream by setting `_state = STATE_CLOSED` and (optionally) closing `_parser`
- sets `_state = STATE_HAS_VALUE` when a next value is confirmed
So the bug is: **missing/incorrect state management**, which can make `hasNextValue()`
return `true` when the iterator is actually out of sync (or already logically finished),
causing incorrect iteration behavior.</t>
    <phoneticPr fontId="1" type="noConversion"/>
  </si>
  <si>
    <t>The docstring specifies correct termination behavior (EOF/END_ARRAY) and correct
stateful lookahead behavior for iteration. The buggy version’s lack of proper iterator
state handling (resync/closed/has-value) can violate that contract, so the docstring
does not “encode” the buggy behavior.</t>
    <phoneticPr fontId="1" type="noConversion"/>
  </si>
  <si>
    <t>com.fasterxml.jackson.dataformat.xml.deser#FromXmlParser#nextTextValue()'</t>
    <phoneticPr fontId="1" type="noConversion"/>
  </si>
  <si>
    <t>For XML attribute values, the buggy code sets the current token but does NOT return the
text, so `nextTextValue()` incorrectly returns null even though a string value is available.
Buggy branch:
- `case XmlTokenStream.XML_ATTRIBUTE_VALUE:`
    `_currText = _xmlTokens.getText();`
    `_currToken = JsonToken.VALUE_STRING;`
    `break;`          // falls through to `return null;`
Fixed branch:
- `case XmlTokenStream.XML_ATTRIBUTE_VALUE:`
    `_currToken = JsonToken.VALUE_STRING;`
    `return (_currText = _xmlTokens.getText());`</t>
    <phoneticPr fontId="1" type="noConversion"/>
  </si>
  <si>
    <t>The docstring explicitly says attribute values are mapped to a String value and that the
method returns the String when the next token is textual. The buggy implementation violates
this by returning null for attribute values even after setting VALUE_STRING.</t>
    <phoneticPr fontId="1" type="noConversion"/>
  </si>
  <si>
    <t>org.jsoup.parser#CharacterReader#consumeToEnd()'</t>
    <phoneticPr fontId="1" type="noConversion"/>
  </si>
  <si>
    <t>Buggy code drops the last character of the input when consuming to the end.
Buggy line:
- `input.substring(pos, input.length() - 1);`
Because `String.substring(start, end)` is end-exclusive, using `input.length() - 1`
makes the substring stop before the final character.
Fixed line:
- `input.substring(pos, input.length());`
This correctly includes characters up to the end of the string.</t>
    <phoneticPr fontId="1" type="noConversion"/>
  </si>
  <si>
    <t>The docstring explicitly says it returns "all remaining characters ... to the end of the input."
Dropping the last character violates that intended behavior, so the docstring rules out the bug.</t>
    <phoneticPr fontId="1" type="noConversion"/>
  </si>
  <si>
    <t>org.jsoup.nodes#Node#siblingNodes()'</t>
    <phoneticPr fontId="1" type="noConversion"/>
  </si>
  <si>
    <t>Buggy implementation returns the parent's full child node list:
- `return parent().childNodes();`
This is wrong for two reasons:
1) It includes `this` node, not just siblings.
2) It will throw (likely NPE) if the node has no parent, because it calls `parent()`.
Fixed code:
- Returns `Collections.emptyList()` when `parentNode == null`
- Iterates over `parentNode.childNodes` and adds only nodes where `node != this`
  to build the true sibling list.</t>
    <phoneticPr fontId="1" type="noConversion"/>
  </si>
  <si>
    <t>The docstring explicitly says the returned list "includes this node itself" and even gives
an example where siblingNodes() on &lt;i&gt; returns a list containing both &lt;b&gt; and &lt;i&gt;.
That matches the buggy behavior of returning the full child list (including `this`),
and contradicts the fixed behavior (which excludes `this`). So the docstring still encodes
the buggy semantics.</t>
    <phoneticPr fontId="1" type="noConversion"/>
  </si>
  <si>
    <t>org.jsoup.nodes#Element#siblingElements()'</t>
    <phoneticPr fontId="1" type="noConversion"/>
  </si>
  <si>
    <t>Buggy code returns the parent’s full children list:
- `return parent().children();`
That includes the element itself, so it does *not* return only siblings. It can also
fail for a root/orphan element because it calls `parent()` without checking for no parent.
Fixed code:
- returns empty `Elements(0)` if `parentNode == null`
- iterates through `parent().children()` and adds only `el != this` to the result.</t>
    <phoneticPr fontId="1" type="noConversion"/>
  </si>
  <si>
    <t>The docstring explicitly says the returned collection “does not include the element on
which this method is invoked” and that it returns empty if there is no parent. The buggy
implementation violates both (includes `this`, and may throw when no parent), so the
docstring rules out the buggy behavior.</t>
    <phoneticPr fontId="1" type="noConversion"/>
  </si>
  <si>
    <t>org.jsoup.nodes#Element#nextElementSibling()'</t>
    <phoneticPr fontId="1" type="noConversion"/>
  </si>
  <si>
    <t>Buggy code assumes the element has a parent and calls `parent().children()` immediately:
- `List&lt;Element&gt; siblings = parent().children();`
If the element has no parent (root/detached), `parent()` is null and this can throw
(e.g., NullPointerException) instead of returning null.
Fixed code adds the missing guard:
- `if (parentNode == null) return null;`
before accessing `parent().children()`.</t>
    <phoneticPr fontId="1" type="noConversion"/>
  </si>
  <si>
    <t>The docstring explicitly states the method returns `null` if the element has no parent.
That requires a parent-null check, so the buggy behavior (throwing due to `parent()`)
is ruled out by the docstring.</t>
    <phoneticPr fontId="1" type="noConversion"/>
  </si>
  <si>
    <t>org.jsoup.nodes#Element#previousElementSibling()'</t>
    <phoneticPr fontId="1" type="noConversion"/>
  </si>
  <si>
    <t>Buggy code assumes the element has a parent and immediately calls `parent().children()`:
- `List&lt;Element&gt; siblings = parent().children();`
If this element has no parent (root/detached), `parent()` is null and this can throw
(e.g., NullPointerException) instead of returning null.
Fixed code adds the missing guard:
- `if (parentNode == null) return null;`
before accessing the parent’s children list.</t>
    <phoneticPr fontId="1" type="noConversion"/>
  </si>
  <si>
    <t>The docstring explicitly states the method returns `null` if the element does not have a
parent. The buggy implementation can throw instead, so the docstring rules out the bug.</t>
    <phoneticPr fontId="1" type="noConversion"/>
  </si>
  <si>
    <t>org.jsoup.helper#DataUtil#getCharsetFromContentType(java.lang#String)'</t>
    <phoneticPr fontId="1" type="noConversion"/>
  </si>
  <si>
    <t>Buggy code returns the extracted charset (uppercased) without validating that it is a
supported charset:
- Buggy:
  `charset = m.group(1).trim();`
  `charset = charset.toUpperCase(Locale.ENGLISH);`
  `return charset;`
Fixed code adds validation using `Charset.isSupported(...)`:
- first checks the trimmed original `charset`
  `if (Charset.isSupported(charset)) return charset;`
- then checks the uppercased form
  `charset = charset.toUpperCase(Locale.ENGLISH);`
  `if (Charset.isSupported(charset)) return charset;`
- otherwise returns null.
Impact: the buggy version can return an invalid/unsupported charset token from the header,
leading to failures later when the charset is used.</t>
    <phoneticPr fontId="1" type="noConversion"/>
  </si>
  <si>
    <t>The docstring says it returns the charset if a “non-empty charset is found” and talks about
canonicalizing to uppercase, but it never states that the charset must be *supported/valid*.
So returning an unsupported value is still compatible with the docstring, meaning the
docstring still contains (fails to prevent) this bug.</t>
    <phoneticPr fontId="1" type="noConversion"/>
  </si>
  <si>
    <t>org.jsoup.nodes#Entities#unescape(java.lang#String, java.lang#Boolean)'</t>
    <phoneticPr fontId="1" type="noConversion"/>
  </si>
  <si>
    <t>Buggy code incorrectly handles Unicode code points &gt; U+FFFF (supplementary characters).
Problematic lines:
- `if (charval != -1 || charval &gt; 0xFFFF) { ... }`
  The `|| charval &gt; 0xFFFF` part is pointless (if `charval &gt; 0xFFFF` then `charval != -1` is already true),
  and there is no special handling for supplementary code points.
- `String c = Character.toString((char) charval);`
  This casts the code point to a single 16-bit `char`, truncating values &gt; 0xFFFF instead of producing a
  surrogate pair (should use `Character.toChars(charval)` / equivalent).
Fixed code delegates to `Parser.unescapeEntities(string, strict)`, which correctly unescapes entities,
including supplementary code points.</t>
    <phoneticPr fontId="1" type="noConversion"/>
  </si>
  <si>
    <t>The docstring explicitly claims the method correctly handles the full Unicode range and converts
code points &gt; U+FFFF into proper surrogate pairs, and that invalid code points are left unchanged.
The buggy code does neither (it truncates &gt; U+FFFF and lacks invalid-code-point checks), so the
docstring rules out the buggy behavior.</t>
    <phoneticPr fontId="1" type="noConversion"/>
  </si>
  <si>
    <t>org.jsoup.parser#CharacterReader#nextIndexOf(org.jsoup.parser#CharSequence)'</t>
    <phoneticPr fontId="1" type="noConversion"/>
  </si>
  <si>
    <t>Buggy code can read past the end of the input array when the remaining characters are
too short to match `seq`.
Specifically, it computes:
- `int last = i + seq.length() - 1;`
but only checks:
- `if (offset &lt; length) { ... seq.charAt(j) == input[i] ... }`
So when `last &gt; length`, the loop may access `input[i]` where `i &gt;= length`
→ ArrayIndexOutOfBoundsException.
Fixed code adds the missing boundary check:
- `if (offset &lt; length &amp;&amp; last &lt;= length) { ... }`
which ensures the candidate match window fits inside the buffer before comparing.</t>
    <phoneticPr fontId="1" type="noConversion"/>
  </si>
  <si>
    <t>The docstring promises a safe look-ahead search that returns an index or -1; it does not
mention throwing due to buffer bounds. The buggy version can throw on certain inputs,
so it violates the intended behavior described.</t>
    <phoneticPr fontId="1" type="noConversion"/>
  </si>
  <si>
    <t>org.jsoup.nodes#Element#equals(java.lang#Object)'</t>
    <phoneticPr fontId="1" type="noConversion"/>
  </si>
  <si>
    <t>The buggy implementation always falls back to identity equality at the end:
- Buggy last line: `return this == o;`
But earlier it already handled `this == o` with `if (this == o) return true;`.
So for any *different* Element instance (even if structurally equal), it returns false.
Fixed code correctly compares the element’s tag:
- Fixed last line: `return tag.equals(element.tag);`
So the bug is that `equals` mistakenly implements identity comparison instead of
value-based comparison (at least for the tag field).</t>
    <phoneticPr fontId="1" type="noConversion"/>
  </si>
  <si>
    <t>The docstring explicitly describes a deep, value-based equality (same tag name,
attributes, and children) and even says `==` is for identity. The buggy code effectively
uses identity (`this == o`) as the deciding check, so it contradicts the docstring.</t>
    <phoneticPr fontId="1" type="noConversion"/>
  </si>
  <si>
    <t>org.jsoup.nodes#XmlDeclaration#getWholeDeclaration()'</t>
    <phoneticPr fontId="1" type="noConversion"/>
  </si>
  <si>
    <t>Buggy code only builds a declaration string for the special case:
- `decl.equals("xml") &amp;&amp; attributes.size() &gt; 1`
and even then it only appends `version` and `encoding` (not `standalone`), and it does
not use a general escaping/serialization of attributes.
If the declaration is `xml` with exactly one attribute (e.g., only `version`), or if it
has other attributes (like `standalone`), the buggy code may return just `this.name`
and drop attributes, producing an incomplete declaration.
Fixed code returns the full attribute serialization:
- `return attributes.html().trim();`
which includes whatever attributes are present (and relies on attribute HTML/XML escaping).</t>
    <phoneticPr fontId="1" type="noConversion"/>
  </si>
  <si>
    <t>The docstring says this method assembles the declaration by appending `version`,
`encoding`, and `standalone` when present, and returns only the name only when there are
no attributes (or non-"xml"). The buggy implementation can drop attributes in common
cases (e.g., exactly one attribute, or standalone), so it contradicts the intended behavior
described by the docstring.</t>
    <phoneticPr fontId="1" type="noConversion"/>
  </si>
  <si>
    <t>org.jsoup.safety#Cleaner#isValid(org.jsoup.nodes#Document)'</t>
    <phoneticPr fontId="1" type="noConversion"/>
  </si>
  <si>
    <t>Buggy code only validates the document body:
- `int numDiscarded = copySafeNodes(dirtyDocument.body(), clean.body());`
- `return numDiscarded == 0;`
So if the document has disallowed nodes/attributes in the `&lt;head&gt;`, `isValid` can still
return true (false negative).
Fixed code adds a head check:
- `&amp;&amp; dirtyDocument.head().childNodes().size() == 0`
because the cleaning logic starts from a shell and only copies safe nodes from the body,
so any existing head content would be ignored by the buggy validity test.</t>
    <phoneticPr fontId="1" type="noConversion"/>
  </si>
  <si>
    <t>The docstring explicitly says it traverses the entire document, including `&lt;head&gt;` and
`&lt;body&gt;`, and returns false if any disallowed HTML appears anywhere. The buggy version
does not consider `&lt;head&gt;`, so it violates the described intended behavior.</t>
    <phoneticPr fontId="1" type="noConversion"/>
  </si>
  <si>
    <t>'org.jsoup.nodes#Attribute#getValue()'</t>
  </si>
  <si>
    <t>Buggy code returns `val` directly:
- `return val;`
Fixed code wraps it with a null-check helper:
- `return Attributes.checkNotNull(val);`
So the bug is that the buggy implementation can return `null` for an attribute value,
while the fixed implementation enforces a non-null return (likely converting null to
"" or throwing, depending on `checkNotNull`’s semantics).</t>
    <phoneticPr fontId="1" type="noConversion"/>
  </si>
  <si>
    <t>The docstring explicitly states that for valueless/boolean attributes this method is
expected to return `null`, and that callers must handle a null return value. That aligns
with the buggy behavior (`return val;`), and conflicts with the fixed behavior that
checks/not-allows null. So the docstring still contains (encodes) the buggy semantics.</t>
    <phoneticPr fontId="1" type="noConversion"/>
  </si>
  <si>
    <t>org.jsoup.nodes#Attribute#setValue(java.lang#String)'</t>
    <phoneticPr fontId="1" type="noConversion"/>
  </si>
  <si>
    <t>Buggy code tries to read from `parent` before checking if `parent` is null:
- `String oldVal = parent.get(this.key);`
If `parent == null`, this throws (NullPointerException) before the later null-check:
- `if (parent != null) { ... }`
Fixed code initializes from the local field first:
- `String oldVal = this.val;`
and only consults `parent` inside the `if (parent != null)` block.</t>
    <phoneticPr fontId="1" type="noConversion"/>
  </si>
  <si>
    <t>The docstring says the parent collection is updated "if one is associated" and implies
the method should work even when there is no parent. The buggy version can crash when
no parent exists, so it violates the intended behavior described.</t>
    <phoneticPr fontId="1" type="noConversion"/>
  </si>
  <si>
    <t>org.apache.commons.lang3#StringUtils#equals(org.apache.commons.lang3#CharSequence, org.apache.commons.lang3#CharSequence)'</t>
    <phoneticPr fontId="1" type="noConversion"/>
  </si>
  <si>
    <t>Buggy code returns `cs1.equals(cs2)` for all non-null inputs:
- `return cs1.equals(cs2);`
This is wrong for many `CharSequence` implementations because `equals()` is often
type-specific (e.g., `String.equals()` only returns true when the other object is also
a `String`). As a result, two CharSequences with identical characters can be reported
as not equal (e.g., `"abc"` vs `new StringBuilder("abc")`).
Fixed code keeps the fast path for two Strings:
- `if (cs1 instanceof String &amp;&amp; cs2 instanceof String) return cs1.equals(cs2);`
and otherwise performs a content-based comparison:
- `return CharSequenceUtils.regionMatches(cs1, false, 0, cs2, 0, Math.max(cs1.length(), cs2.length()));`</t>
    <phoneticPr fontId="1" type="noConversion"/>
  </si>
  <si>
    <t>The docstring explicitly states that for non-null inputs the method “delegates the
comparison to cs1.equals(cs2)” and even gives the example that
`StringUtils.equals("abc", new StringBuilder("abc"))` returns false. That description
matches the buggy behavior and contradicts the fixed implementation’s intent to compare
character content across different CharSequence types.</t>
    <phoneticPr fontId="1" type="noConversion"/>
  </si>
  <si>
    <t>org.apache.commons.lang3.text.translate#NumericEntityUnescaper#translate(org.apache.commons.lang3.text.translate#CharSequence, java.lang#Integer, java.io#Writer)'</t>
    <phoneticPr fontId="1" type="noConversion"/>
  </si>
  <si>
    <t>The buggy code is not safe on malformed / truncated entities and can read past the end of `input`.
Key differences:
1) Off-by-one precondition:
- Buggy: `index &lt; seqEnd - 1`
  but the method then does `start = index + 2` and immediately reads `input.charAt(start)`,
  so it also needs `index + 2 &lt; seqEnd`.
- Fixed: `index &lt; seqEnd - 2` (prevents `charAt(index + 2)` from going out of bounds).
2) Unbounded scan for ';':
- Buggy: `while (input.charAt(end) != ';') { end++; }`
  has no `end &lt; seqEnd` guard and will throw if there is no ';' before the end.
- Fixed: scans only while `end &lt; seqEnd` and characters are valid hex/decimal digits, then
  checks whether a semicolon is present with `semiNext`.
3) Missing “only &amp;#x” handling:
- Fixed adds: `if (start == seqEnd) { return 0; }` after consuming 'x'/'X',
  preventing `charAt(start)` / parsing on an empty numeric part.</t>
    <phoneticPr fontId="1" type="noConversion"/>
  </si>
  <si>
    <t>The docstring explicitly says malformed entities (including “not terminated by a semicolon
within the input bounds”) should result in “no translation” and returning 0. That implies
the method must handle missing ';' / truncated input without throwing, which the buggy
code fails to do.</t>
    <phoneticPr fontId="1" type="noConversion"/>
  </si>
  <si>
    <t>org.apache.commons.lang3.time#DateUtils#isSameLocalTime(java.util#Calendar, java.util#Calendar)'</t>
    <phoneticPr fontId="1" type="noConversion"/>
  </si>
  <si>
    <t>Buggy code compares the hour using `Calendar.HOUR` (12-hour clock) instead of
`Calendar.HOUR_OF_DAY` (24-hour clock):
- Buggy: `cal1.get(Calendar.HOUR) == cal2.get(Calendar.HOUR)`
- Fixed:  `cal1.get(Calendar.HOUR_OF_DAY) == cal2.get(Calendar.HOUR_OF_DAY)`
Impact: times that differ by 12 hours (e.g., 01:00 vs 13:00 on the same day) can be
incorrectly considered the “same local time” because `Calendar.HOUR` ignores AM/PM
unless you also compare `Calendar.AM_PM` (which this method does not).</t>
    <phoneticPr fontId="1" type="noConversion"/>
  </si>
  <si>
    <t>The docstring explicitly says it compares `HOUR_OF_DAY` and “uses a 24-hour clock to avoid
ambiguity between AM and PM.” That requirement rules out using `Calendar.HOUR` without an
AM/PM check, which is exactly the buggy behavior.</t>
    <phoneticPr fontId="1" type="noConversion"/>
  </si>
  <si>
    <t>org.apache.commons.lang3.math#NumberUtils#isNumber(java.lang#String)'</t>
    <phoneticPr fontId="1" type="noConversion"/>
  </si>
  <si>
    <t>Buggy code incorrectly accepts a long type qualifier ('L'/'l') even when the number
contains a decimal point.
Specifically, in the trailing-qualifier handling for:
- `if (chars[i] == 'l' || chars[i] == 'L')`
Buggy code returns:
- `return foundDigit &amp;&amp; !hasExp;`
Fixed code tightens the condition to also forbid decimals:
- `return foundDigit &amp;&amp; !hasExp &amp;&amp; !hasDecPoint;`
Impact: inputs like `"1.0L"` (or `"123.L"`) can be incorrectly classified as a valid number
in the buggy version, even though Java long literals cannot have a decimal point.</t>
    <phoneticPr fontId="1" type="noConversion"/>
  </si>
  <si>
    <t>The docstring says it checks for “valid Java-style number” formats and describes `L` as
the long qualifier (example: `123L`). That implies `L` applies to integer long literals,
not decimal forms like `123.4L`. So the docstring describes the fixed/correct behavior,
not the buggy acceptance of decimal-long strings.</t>
    <phoneticPr fontId="1" type="noConversion"/>
  </si>
  <si>
    <t>org.apache.commons.lang3#StringUtils#indexOfAnyBut(java.lang#String, java.lang#String)'</t>
    <phoneticPr fontId="1" type="noConversion"/>
  </si>
  <si>
    <t>Buggy code checks membership one 16-bit `char` at a time:
- `if (searchChars.indexOf(ch) &lt; 0) { return i; }`
This mishandles Unicode supplementary characters (surrogate pairs). In particular, if `str`
contains a surrogate pair starting at index `i` (a high surrogate at `i` and a low surrogate
at `i+1`), the buggy code can return the WRONG index (often `i+1`) because it treats the two
halves independently.
Fixed code adds explicit surrogate handling:
- `boolean chFound = searchChars.indexOf(ch) &gt;= 0;`
- `if (i + 1 &lt; strLen &amp;&amp; Character.isHighSurrogate(ch)) { ... }`
and if the high surrogate is found but the following low surrogate is not found, it returns
`i` (the start of the surrogate pair), not `i+1`:
- `if (chFound &amp;&amp; searchChars.indexOf(ch2) &lt; 0) { return i; }`</t>
    <phoneticPr fontId="1" type="noConversion"/>
  </si>
  <si>
    <t>The docstring only describes a simple per-character search and gives examples with basic
(BMP) characters; it does not specify correct handling of surrogate pairs / supplementary
Unicode characters. So the buggy behavior (treating a surrogate pair as two independent
chars and returning the wrong index) is not ruled out by the docstring as written.</t>
    <phoneticPr fontId="1" type="noConversion"/>
  </si>
  <si>
    <t>org.apache.commons.lang3#ArrayUtils#add(org.apache.commons.lang3#T[], org.apache.commons.lang3#T)'</t>
    <phoneticPr fontId="1" type="noConversion"/>
  </si>
  <si>
    <t>Buggy code allows both inputs to be null and silently creates an `Object[]`:
- Buggy fallback: `else { type = Object.class; }`
Fixed code instead rejects this case:
- `else { throw new IllegalArgumentException("Arguments cannot both be null"); }`
Impact: the buggy version returns `[null]` as an `Object[]` when called as `add(null, null)`,
whereas the fixed version treats that call as invalid and throws.</t>
    <phoneticPr fontId="1" type="noConversion"/>
  </si>
  <si>
    <t>The docstring explicitly states that if both `array` and `element` are null,
it returns a new `Object[]` containing a single null (it even includes the example
`ArrayUtils.add(null, null) = [null] (as Object[])`). That matches the buggy behavior
and contradicts the fixed behavior (throwing IllegalArgumentException).</t>
    <phoneticPr fontId="1" type="noConversion"/>
  </si>
  <si>
    <t>org.apache.commons.lang3#ArrayUtils#add(org.apache.commons.lang3#T[], java.lang#Integer, org.apache.commons.lang3#T)'</t>
    <phoneticPr fontId="1" type="noConversion"/>
  </si>
  <si>
    <t>Buggy code silently allows `array == null` AND `element == null` by returning a raw
`Object[] { null }`:
- Buggy: `else { return (T[]) new Object[] { null }; }`
Fixed code rejects this invalid case:
- Fixed: `else { throw new IllegalArgumentException("Array and element cannot both be null"); }`
Impact: the buggy version returns a one-element `Object[]` (cast to `T[]`) when the
component type cannot be determined, instead of failing fast.</t>
    <phoneticPr fontId="1" type="noConversion"/>
  </si>
  <si>
    <t>The docstring explicitly says it throws `IllegalArgumentException` when both `array` and
`element` are null (because the component type cannot be determined). That rules out the
buggy behavior of returning `new Object[]{null}`.</t>
    <phoneticPr fontId="1" type="noConversion"/>
  </si>
  <si>
    <t>org.apache.commons.lang#StringUtils#containsIgnoreCase(java.lang#String, java.lang#String)'</t>
    <phoneticPr fontId="1" type="noConversion"/>
  </si>
  <si>
    <t>Buggy code implements case-insensitive search by uppercasing both strings:
- `return contains(str.toUpperCase(), searchStr.toUpperCase());`
This is locale-sensitive (uses the default locale) and can give wrong results in
certain locales (e.g., Turkish dotted/dotless i), and can also mis-handle some
Unicode case mappings.
Fixed code avoids locale-dependent case conversion and instead uses:
- `str.regionMatches(true, i, searchStr, 0, len)`
in a loop, which performs case-insensitive matching without uppercasing the whole
strings.</t>
    <phoneticPr fontId="1" type="noConversion"/>
  </si>
  <si>
    <t>The docstring explicitly requires locale-independent behavior and even gives an example
highlighting locale-insensitivity. That rules out the buggy implementation based on
`toUpperCase()` with the default locale, which is exactly the source of the problem.</t>
    <phoneticPr fontId="1" type="noConversion"/>
  </si>
  <si>
    <t>org.apache.commons.lang#ClassUtils#getPackageName(java.lang#String)'</t>
    <phoneticPr fontId="1" type="noConversion"/>
  </si>
  <si>
    <t>Buggy code does not implement the promised “strip array encoding” / “strip object type
encoding” logic (the comments are there, but the code is missing). It simply does:
- `int i = className.lastIndexOf(PACKAGE_SEPARATOR_CHAR);`
- `return className.substring(0, i);`
As a result, for JVM internal array/object descriptors like `"[Ljava.lang.String;"`,
the last '.' occurs inside `"java.lang.String;"`, so the buggy method returns
`"[Ljava.lang"` (wrong).
Fixed code adds the missing preprocessing:
- `while (className.charAt(0) == '[') { className = className.substring(1); }`
- `if (className.charAt(0) == 'L' &amp;&amp; className.charAt(className.length() - 1) == ';') { className = className.substring(1); }`
and also guards empty input:
- `if (className == null || className.length() == 0) return ""`.</t>
    <phoneticPr fontId="1" type="noConversion"/>
  </si>
  <si>
    <t>The docstring explicitly says the method “correctly handles … array types” including the
internal JVM form like `"[Ljava.lang.String;"` and that it “strips all array-related
notation before locating the package name.” That requirement rules out the buggy behavior
that fails to strip the encoding and returns `"[Ljava.lang"`.</t>
    <phoneticPr fontId="1" type="noConversion"/>
  </si>
  <si>
    <t>org.apache.commons.lang#WordUtils#abbreviate(java.lang#String, java.lang#Integer, java.lang#Integer, java.lang#String)'</t>
    <phoneticPr fontId="1" type="noConversion"/>
  </si>
  <si>
    <t>Buggy code does not clamp `lower` (minLength) when it is larger than `str.length()`.
Missing in buggy version (added in fixed):
- `if (lower &gt; str.length()) { lower = str.length(); }`
Why it matters:
If `lower &gt; str.length()`, the buggy code can make `upper` out of bounds:
- first it clamps `upper` down to `str.length()`
- then it does `if (upper &lt; lower) { upper = lower; }`  → now `upper &gt; str.length()`
- later it calls `str.substring(0, upper)` → `StringIndexOutOfBoundsException`
Fixed code prevents this by clamping `lower` to `str.length()` before the `upper &lt; lower` adjustment.</t>
    <phoneticPr fontId="1" type="noConversion"/>
  </si>
  <si>
    <t>The docstring explicitly says: “If the original String's length is already less than or equal to
minLength, the original String is returned without modification.” That rules out throwing an
out-of-bounds exception when `minLength` (lower) exceeds the string length.</t>
    <phoneticPr fontId="1" type="noConversion"/>
  </si>
  <si>
    <t>org.apache.commons.lang.text#StrBuilder#appendFixedWidthPadRight(java.lang#Object, java.lang#Integer, java.lang#Character)'</t>
    <phoneticPr fontId="1" type="noConversion"/>
  </si>
  <si>
    <t>Buggy code can throw a NullPointerException when the “null text” is itself null.
Buggy line:
- `String str = (obj == null ? getNullText() : obj.toString());`
followed immediately by:
- `int strLen = str.length();`   // NPE if getNullText() returned null
Fixed code adds a missing null-normalization:
- `if (str == null) { str = ""; }`
Impact: when `obj == null` and `getNullText()` returns null, the method should treat it as
an empty string (pad/truncate accordingly) rather than crashing.</t>
    <phoneticPr fontId="1" type="noConversion"/>
  </si>
  <si>
    <t>The docstring explicitly states: “If the resulting string representation is null, it is
handled as an empty string.” That requirement rules out the buggy behavior (NPE when
`getNullText()` returns null).</t>
    <phoneticPr fontId="1" type="noConversion"/>
  </si>
  <si>
    <t>org.apache.commons.lang.text#StrBuilder#appendFixedWidthPadLeft(java.lang#Object, java.lang#Integer, java.lang#Character)'</t>
    <phoneticPr fontId="1" type="noConversion"/>
  </si>
  <si>
    <t>Buggy code can throw a NullPointerException when `obj` is null AND the configured null
text (`getNullText()`) is also null.
Buggy sequence:
- `String str = (obj == null ? getNullText() : obj.toString());`
- `int strLen = str.length();`   // NPE if str is null
Fixed code adds the missing null-normalization:
- `if (str == null) { str = ""; }`
Impact: when null text is not configured (or explicitly set to null), the method should
treat it as an empty string and then pad/truncate, rather than crashing.</t>
    <phoneticPr fontId="1" type="noConversion"/>
  </si>
  <si>
    <t>The docstring explicitly states that if the configured null text is also null, it is
treated as an empty string. That requirement rules out the buggy behavior (NPE).</t>
    <phoneticPr fontId="1" type="noConversion"/>
  </si>
  <si>
    <t>org.apache.commons.lang.text#StrBuilder#contains(java.lang#Character)'</t>
    <phoneticPr fontId="1" type="noConversion"/>
  </si>
  <si>
    <t>Buggy code scans the entire internal buffer capacity instead of only the builder’s
logical content:
- Buggy loop: `for (int i = 0; i &lt; thisBuf.length; i++) { ... }`
Fixed code correctly limits the scan to the used portion:
- Fixed loop: `for (int i = 0; i &lt; this.size; i++) { ... }`
Impact: the buggy version can return true based on stale/uninitialized characters that
exist past `size` (i.e., beyond the current content), so it may report that the builder
“contains” a character that isn’t actually in the current string.</t>
    <phoneticPr fontId="1" type="noConversion"/>
  </si>
  <si>
    <t>The docstring explicitly says the search is confined to the builder’s “logical content”
up to its length. That rules out scanning `buffer.length` (capacity) beyond `size`.</t>
    <phoneticPr fontId="1" type="noConversion"/>
  </si>
  <si>
    <t>org.apache.commons.lang.time#DurationFormatUtils#formatPeriod(java.lang#Long, java.lang#Long, java.lang#String, java.lang#Boolean, java.util#TimeZone)'</t>
    <phoneticPr fontId="1" type="noConversion"/>
  </si>
  <si>
    <t>The buggy implementation “borrows” days from the previous month using a hard-coded 31 days:
- Buggy (inside `while (days &lt; 0)`):
  `days += 31;`
  `months -= 1;`
This is wrong for months with 28/29/30 days, so the computed (months, days) breakdown for a
period crossing such months can be incorrect.
The fixed code replaces that with a calendar-aware borrow:
- Fixed (inside `while (days &lt; 0)`):
  `end.add(Calendar.MONTH, -1);`
  `days += end.getActualMaximum(Calendar.DAY_OF_MONTH);`
  `months -= 1;`
  `end.add(Calendar.MONTH, 1);`
So it borrows the *actual* number of days in the relevant month rather than always 31.</t>
    <phoneticPr fontId="1" type="noConversion"/>
  </si>
  <si>
    <t>The docstring explicitly says the method accounts for “the varying number of days in a month”
(and leap years/DST) and that cascading is performed accurately. That rules out the buggy
hard-coded `days += 31` logic, which does not correctly handle different month lengths.</t>
    <phoneticPr fontId="1" type="noConversion"/>
  </si>
  <si>
    <t>org.apache.commons.lang.text#StrBuilder#indexOf(java.lang#Character, java.lang#Integer)'</t>
    <phoneticPr fontId="1" type="noConversion"/>
  </si>
  <si>
    <t>Buggy code searches past the builder’s logical content by looping over the full internal
buffer capacity:
- Buggy loop: `for (int i = startIndex; i &lt; thisBuf.length; i++) { ... }`
Fixed code correctly limits the search to the used portion of the buffer:
- Fixed loop: `for (int i = startIndex; i &lt; size; i++) { ... }`
Impact: the buggy version can return an index for a character that appears only in the
unused tail of `buffer` (stale/uninitialized data), i.e., not actually in the builder’s
current content.</t>
    <phoneticPr fontId="1" type="noConversion"/>
  </si>
  <si>
    <t>The docstring says the search is performed on the “character sequence currently managed”
by the builder and uses the “current length.” That rules out scanning `buffer.length`
beyond `size`.</t>
    <phoneticPr fontId="1" type="noConversion"/>
  </si>
  <si>
    <t>org.apache.commons.lang3.math#NumberUtils#createNumber(java.lang#String)'</t>
    <phoneticPr fontId="1" type="noConversion"/>
  </si>
  <si>
    <t>Buggy code has a special-case that returns null for any string starting with `"--"`:
- Buggy only:
  `if (str.startsWith("--")) { return null; }`
Fixed code removes this branch entirely.
Impact: non-null, non-blank but invalid inputs like `"--1"` (or just `"--"`) return `null`
instead of signaling an error (e.g., throwing `NumberFormatException`). This makes invalid
numbers indistinguishable from the “null input” case.</t>
    <phoneticPr fontId="1" type="noConversion"/>
  </si>
  <si>
    <t>The docstring states that `null` is returned only when the input string itself is `null`,
and that non-blank invalid strings should throw `NumberFormatException`. That explicitly
rules out returning `null` for `"--..."` inputs.</t>
    <phoneticPr fontId="1" type="noConversion"/>
  </si>
  <si>
    <t>org.apache.commons.math3.fraction#Fraction#percentageValue()'</t>
    <phoneticPr fontId="1" type="noConversion"/>
  </si>
  <si>
    <t>org.apache.commons.math.complex#Complex#tanh()'</t>
    <phoneticPr fontId="1" type="noConversion"/>
  </si>
  <si>
    <t>Buggy code computes the percentage by creating a new Fraction via `multiply(100)`:
- Buggy: `return multiply(100).doubleValue();`
This can overflow during Fraction arithmetic (e.g., numerator * 100 exceeds the integer
range used internally), causing incorrect results or an exception.
Fixed code avoids Fraction multiplication and uses floating-point directly:
- Fixed: `return 100 * doubleValue();`</t>
    <phoneticPr fontId="1" type="noConversion"/>
  </si>
  <si>
    <t>The docstring explicitly requires using floating-point arithmetic to avoid integer overflow
with large numerators. That rules out the buggy approach that multiplies in Fraction space
(where overflow can occur) before converting to double.</t>
    <phoneticPr fontId="1" type="noConversion"/>
  </si>
  <si>
    <t>Buggy code only checks `isNaN` and then blindly evaluates the formula, which breaks for
important non-finite / extreme inputs.
Missing behaviors (added in fixed):
1) Imaginary part infinite:
- Buggy: no check → computes `cos(±∞)` / `sin(±∞)` which yields NaN and can lead to
  inconsistent behavior.
- Fixed: `if (isNaN || Double.isInfinite(imaginary)) { return NaN; }`
2) Very large |real|:
- Buggy: for large real, `cosh(2x)` and `sinh(2x)` can overflow to Infinity, and then
  the divisions can produce NaN or lose the correct limiting behavior.
- Fixed adds saturation:
  `if (real &gt; 20.0)  return (1.0, 0.0);`
  `if (real &lt; -20.0) return (-1.0, 0.0);`</t>
    <phoneticPr fontId="1" type="noConversion"/>
  </si>
  <si>
    <t>The docstring explicitly requires correct handling for non-finite values (including
“imaginary part is infinite → Complex.NaN”) and correct limiting behavior for infinite
real parts. That rules out the buggy implementation that only checks `isNaN` and otherwise
evaluates the formula without these safeguards.</t>
    <phoneticPr fontId="1" type="noConversion"/>
  </si>
  <si>
    <t>org.apache.commons.math3.util#MathArrays#linearCombination(org.apache.commons.math3.util#final double[], org.apache.commons.math3.util#final double[])'</t>
    <phoneticPr fontId="1" type="noConversion"/>
  </si>
  <si>
    <t>org.apache.commons.math.complex#Complex#divide(org.apache.commons.math.complex#Complex)'</t>
    <phoneticPr fontId="1" type="noConversion"/>
  </si>
  <si>
    <t>Buggy code assumes the arrays have length ≥ 2 and unconditionally reads `prodHigh[1]`:
- `double prodHighNext = prodHigh[1];`
If `len == 1`, this causes `ArrayIndexOutOfBoundsException`.
Fixed code adds a required special-case:
- `if (len == 1) { return a[0] * b[0]; }`
so length-1 inputs revert to scalar multiplication and avoid the out-of-bounds access.</t>
    <phoneticPr fontId="1" type="noConversion"/>
  </si>
  <si>
    <t>The docstring does not state that length-1 vectors are a special case or that the method
must handle them; it only mentions returning 0.0 for empty vectors. Since it doesn’t rule
out failing on length-1 inputs, the buggy behavior (crashing for len==1) is still
compatible with the docstring as written.</t>
    <phoneticPr fontId="1" type="noConversion"/>
  </si>
  <si>
    <t>org.apache.commons.math.complex#Complex#divide(java.lang#Double)'</t>
    <phoneticPr fontId="1" type="noConversion"/>
  </si>
  <si>
    <t>Buggy code returns `INF` when dividing a non-zero complex number by zero:
- Buggy:
  `if (divisor.isZero) { return isZero ? NaN : INF; }`
Fixed code changes this to always return `NaN` when the divisor is zero:
- Fixed:
  `if (divisor.isZero) { return NaN; }`
Impact: the buggy version produces `Complex.INF` for cases like `(1+2i) / 0`,
but the fixed version treats division by zero as undefined and returns `Complex.NaN`.</t>
    <phoneticPr fontId="1" type="noConversion"/>
  </si>
  <si>
    <t>The docstring explicitly states that when the divisor is `Complex.ZERO` and “this number is
non-zero, the result is `Complex.INF`.” That matches the buggy behavior and contradicts the
fixed behavior (always `NaN` for divisor zero).</t>
    <phoneticPr fontId="1" type="noConversion"/>
  </si>
  <si>
    <t>Buggy code returns `INF` when dividing a non-zero complex number by scalar 0.0:
- Buggy:
  `if (divisor == 0d) { return isZero ? NaN : INF; }`
Fixed code changes this to always return `NaN` for divisor zero:
- Fixed:
  `if (divisor == 0d) { return NaN; }`
Impact: the buggy version yields `Complex.INF` for cases like `(1+2i) / 0.0`,
but the fixed version treats division by zero as undefined and returns `Complex.NaN`.</t>
    <phoneticPr fontId="1" type="noConversion"/>
  </si>
  <si>
    <t>The docstring explicitly says that if the divisor is zero and the complex number is non-zero,
the result is a complex infinity (IEEE-754-style division by zero). That matches the buggy
behavior and contradicts the fixed behavior (always `NaN` when divisor is zero).</t>
    <phoneticPr fontId="1" type="noConversion"/>
  </si>
  <si>
    <t>Buggy code returns `NaN` for ALL divisions by zero, even when “this” is non-zero:
- Buggy:
  `if (divisor == 0d) { return NaN; }`
Fixed code distinguishes 0/0 from nonzero/0:
- Fixed:
  `if (divisor == 0d) { return isZero ? NaN : INF; }`
Impact: `(1 + 2i) / 0.0` incorrectly returns `Complex.NaN` in the buggy version; it should
return `Complex.INF` (while `(0 + 0i) / 0.0` remains `NaN`).</t>
    <phoneticPr fontId="1" type="noConversion"/>
  </si>
  <si>
    <t>The docstring explicitly requires `Complex.INF` when the divisor is zero and the complex
number is finite and non-zero, and `Complex.NaN` only for the indeterminate 0/0 case.
That rules out the buggy behavior of always returning `NaN` for divisor zero.</t>
    <phoneticPr fontId="1" type="noConversion"/>
  </si>
  <si>
    <t>Buggy code handles division by (0 + 0i) incorrectly for the non-zero numerator case.
Buggy special-case:
- `if (divisor.getReal() == 0.0 &amp;&amp; divisor.getImaginary() == 0.0) { return NaN; }`
This always returns `NaN` when the divisor is zero, even if “this” is non-zero.
Fixed code uses the library’s `isZero` check and distinguishes cases:
- `if (divisor.isZero) { return isZero ? NaN : INF; }`
Impact: `(1 + 2i) / (0 + 0i)` incorrectly returns `NaN` in the buggy version; it should
return `INF` (while `0 / 0` remains `NaN`).</t>
    <phoneticPr fontId="1" type="noConversion"/>
  </si>
  <si>
    <t>The docstring explicitly states: “If the divisor is the complex zero (0, 0), the result is
Complex.NaN.” It does not mention returning `INF` for the non-zero numerator case, so it
matches/permits the buggy behavior and conflicts with the fixed behavior.</t>
    <phoneticPr fontId="1" type="noConversion"/>
  </si>
  <si>
    <t>org.apache.commons.math3.geometry.euclidean.twod#SubLine#intersection(org.apache.commons.math3.geometry.euclidean.twod#final SubLine, org.apache.commons.math3.geometry.euclidean.twod#final boolean)'</t>
    <phoneticPr fontId="1" type="noConversion"/>
  </si>
  <si>
    <t>Buggy code does not handle the case where the underlying infinite lines have no unique
intersection (parallel or coincident), i.e., `line1.intersection(line2)` returns null.
Buggy sequence:
- `Vector2D v2D = line1.intersection(line2);`
- then immediately uses `v2D`:
  `line1.toSubSpace(v2D)` / `line2.toSubSpace(v2D)`   // NullPointerException if v2D == null
Fixed code adds the missing null check right after computing the intersection:
- `if (v2D == null) { return null; }`</t>
    <phoneticPr fontId="1" type="noConversion"/>
  </si>
  <si>
    <t>The docstring explicitly says the method returns null when the sub-lines do not intersect,
are parallel, or are coincident (no unique intersection point). That requires handling
`v2D == null` safely rather than throwing a NullPointerException, so it rules out the buggy behavior.</t>
    <phoneticPr fontId="1" type="noConversion"/>
  </si>
  <si>
    <t>'org.apache.commons.math3.geometry.euclidean.threed#SubLine#intersection(org.apache.commons.math3.geometry.euclidean.threed#final SubLine, org.apache.commons.math3.geometry.euclidean.threed#final boolean)'</t>
  </si>
  <si>
    <t>'org.apache.commons.math.complex#Complex#add(org.apache.commons.math.complex#Complex)'</t>
  </si>
  <si>
    <t>Buggy code does not special-case NaN Complex values; it always constructs the result from
component-wise addition:
- Buggy: `return createComplex(real + rhs.getReal(), imaginary + rhs.getImaginary());`
Fixed code adds a NaN propagation rule at the Complex-object level:
- Fixed:
  `if (isNaN || rhs.isNaN) { return NaN; }`
Impact: if either operand is the library’s canonical `Complex.NaN` (tracked via `isNaN`),
the buggy version may return a non-canonical Complex instance (or inconsistent state),
instead of returning the canonical `Complex.NaN`.</t>
    <phoneticPr fontId="1" type="noConversion"/>
  </si>
  <si>
    <t>The docstring explicitly says NaN handling follows IEEE 754 and gives the expectation that
NaN should propagate. That implies the method should return a NaN result when either operand
is NaN, which the fixed code enforces via the explicit `isNaN` check.</t>
    <phoneticPr fontId="1" type="noConversion"/>
  </si>
  <si>
    <t>In the branch where `a &gt; b`, the buggy code returns `b` instead of `a`.
Buggy:
- `return (a &lt;= b) ? b : (Float.isNaN(a + b) ? Float.NaN : b);`
Fixed:
- `return (a &lt;= b) ? b : (Float.isNaN(a + b) ? Float.NaN : a);`
Impact: for normal (non-NaN) inputs where `a` is greater than `b`, `max(a, b)` incorrectly
returns the smaller value `b`.</t>
    <phoneticPr fontId="1" type="noConversion"/>
  </si>
  <si>
    <t>The docstring defines the method as returning “the greater of two float values” and matching
`Math.max`. That rules out returning `b` when `a &gt; b`, which is exactly the buggy behavior.</t>
    <phoneticPr fontId="1" type="noConversion"/>
  </si>
  <si>
    <t>org.apache.commons.math3.complex#Complex#reciprocal()'</t>
    <phoneticPr fontId="1" type="noConversion"/>
  </si>
  <si>
    <t>org.apache.commons.math.util#FastMath#max(org.apache.commons.math.util#final float, org.apache.commons.math.util#final float)'</t>
    <phoneticPr fontId="1" type="noConversion"/>
  </si>
  <si>
    <t>Buggy code returns `NaN` for the reciprocal of zero, but it should return `INF`.
Buggy:
- `if (real == 0.0 &amp;&amp; imaginary == 0.0) { return NaN; }`
Fixed:
- `if (real == 0.0 &amp;&amp; imaginary == 0.0) { return INF; }`
Impact: `reciprocal(0 + 0i)` is treated as `NaN` in the buggy version, but the fixed version
returns the library’s complex infinity constant (`INF`) to represent division by zero.</t>
    <phoneticPr fontId="1" type="noConversion"/>
  </si>
  <si>
    <t>The docstring explicitly states that if the complex number is ZERO (0 + 0i), the result of
division by zero is NaN. That matches the buggy behavior and contradicts the fixed behavior
(which returns INF).</t>
    <phoneticPr fontId="1" type="noConversion"/>
  </si>
  <si>
    <t>Buggy code passes a hard-coded start value of `0` to the 5-arg overload:
- Buggy: `return optimize(f, goal, min, max, 0);`
Fixed code uses a start value inside the provided interval, choosing the midpoint:
- Fixed: `return optimize(f, goal, min, max, min + 0.5 * (max - min));`
Impact: when the user’s interval [min, max] does not contain 0 (e.g., [10, 20] or [-20, -10]),
the buggy version starts outside the interval, which can break assumptions of the optimizer,
reduce effectiveness, or even cause failures depending on the underlying algorithm.</t>
    <phoneticPr fontId="1" type="noConversion"/>
  </si>
  <si>
    <t>org.apache.commons.math.optimization.univariate#MultiStartUnivariateRealOptimizer#optimize(org.apache.commons.math.optimization.univariate#final FUNC, org.apache.commons.math.optimization.univariate#final GoalType, org.apache.commons.math.optimization.univariate#final double, org.apache.commons.math.optimization.univariate#final double)'</t>
    <phoneticPr fontId="1" type="noConversion"/>
  </si>
  <si>
    <t>The docstring says starting points are “automatically selected within the given [min, max]
interval.” That rules out always using 0 regardless of the interval, which is exactly the
buggy behavior.</t>
    <phoneticPr fontId="1" type="noConversion"/>
  </si>
  <si>
    <t>org.apache.commons.math.util#MathUtils#equals(java.lang#Double, java.lang#Double)'</t>
    <phoneticPr fontId="1" type="noConversion"/>
  </si>
  <si>
    <t>Buggy code performs strict equality (plus NaN==NaN):
- Buggy: `return (Double.isNaN(x) &amp;&amp; Double.isNaN(y)) || x == y;`
Fixed code changes the behavior to a tolerance/ULP-based comparison by delegating:
- Fixed: `return equals(x, y, 1);`
So the bug is that the old implementation is *too strict* and fails to treat nearly-equal
floating-point values as equal (within 1 ULP), even though the intended behavior (per the
fix) is an ULP-based equality check.</t>
    <phoneticPr fontId="1" type="noConversion"/>
  </si>
  <si>
    <t>The docstring explicitly describes strict equality (“identical to == except NaN”) and even
warns that it “does not account for rounding errors.” That matches the buggy implementation,
and it contradicts the fixed behavior (ULP-based equals with tolerance 1). So the docstring
*inherits/contains* the buggy behavior rather than the fixed intent.</t>
    <phoneticPr fontId="1" type="noConversion"/>
  </si>
  <si>
    <t>org.apache.commons.math.stat#Frequency#getPct(java.lang#Object)'</t>
    <phoneticPr fontId="1" type="noConversion"/>
  </si>
  <si>
    <t>The buggy deprecated overload returns the *cumulative* percentage instead of the
percentage for values equal to `v`.
Buggy line:
- `return getCumPct((Comparable&lt;?&gt;) v);`
Fixed line:
- `return getPct((Comparable&lt;?&gt;) v);`
Impact: `getPct(Object)` in the buggy version reports `P(X &lt;= v)` rather than `P(X == v)`,
so it overcounts for any value that is not the minimum in the distribution.</t>
    <phoneticPr fontId="1" type="noConversion"/>
  </si>
  <si>
    <t>The docstring defines this method as “percentage ... equal to the given value” and even
notes the historical bug that it “incorrectly returned the cumulative percentage,” telling
users to use `getPct(Comparable)` instead. That explicitly rules out the buggy behavior.</t>
    <phoneticPr fontId="1" type="noConversion"/>
  </si>
  <si>
    <t>Buggy code accumulates into `max` instead of updating it, which makes the result grow
incorrectly:
- Buggy line inside the loop:
  `max += Math.max(max, Math.abs(a));`
Fixed code correctly updates `max` to be the running maximum:
- Fixed line:
  `max = Math.max(max, Math.abs(a));`
Impact: instead of returning the maximum absolute element, the buggy version returns a
sum-like value that can be much larger than the true L-infinity norm (except in trivial cases).</t>
    <phoneticPr fontId="1" type="noConversion"/>
  </si>
  <si>
    <t>The docstring defines the L-infinity norm as `max(|v1|, ..., |vn|)`. That explicitly
requires taking a maximum, not accumulating values, so it rules out the buggy behavior.</t>
    <phoneticPr fontId="1" type="noConversion"/>
  </si>
  <si>
    <t>org.apache.commons.math.linear#ArrayRealVector#getLInfNorm()'</t>
    <phoneticPr fontId="1" type="noConversion"/>
  </si>
  <si>
    <t>Buggy code mishandles the “one input is zero” case when the other input is Integer.MIN_VALUE.
Buggy zero-case:
- `if ((u == 0) || (v == 0)) { return (Math.abs(u) + Math.abs(v)); }`
Problem: `Math.abs(Integer.MIN_VALUE)` overflows and returns Integer.MIN_VALUE (still negative),
so the method can return a negative value (or otherwise wrong) instead of throwing overflow.
Fixed code adds a guard before calling `Math.abs`:
- `if ((u == Integer.MIN_VALUE) || (v == Integer.MIN_VALUE)) { throw ... "overflow: gcd(...)=2^31"; }`
- then safely returns `Math.abs(u) + Math.abs(v)` for other cases.</t>
    <phoneticPr fontId="1" type="noConversion"/>
  </si>
  <si>
    <t>org.apache.commons.math.util#MathUtils#gcd(org.apache.commons.math.util#final int, org.apache.commons.math.util#final int)'</t>
    <phoneticPr fontId="1" type="noConversion"/>
  </si>
  <si>
    <t>The docstring explicitly says the implementation is robust for Integer.MIN_VALUE and even lists
that it must throw an exception for gcd(Integer.MIN_VALUE, 0) and gcd(0, Integer.MIN_VALUE).
That is the fixed behavior, and it contradicts the buggy behavior (which tries to compute
Math.abs and return a value).</t>
    <phoneticPr fontId="1" type="noConversion"/>
  </si>
  <si>
    <t>'org.apache.commons.math.util#MathUtils#lcm(java.lang#Integer, java.lang#Integer)'</t>
  </si>
  <si>
    <t>Buggy code can silently overflow when the computed LCM equals Integer.MIN_VALUE.
Buggy:
- `int lcm = Math.abs(mulAndCheck(a / gcd(a, b), b));`
- `return lcm;`
Problem: `Math.abs(Integer.MIN_VALUE)` overflows and returns Integer.MIN_VALUE (still negative),
so the method may return a negative LCM even though LCM is defined as non-negative.
Fixed code adds an explicit overflow check after the abs:
- `if (lcm == Integer.MIN_VALUE) { throw new ArithmeticException("overflow: lcm is 2^31"); }`</t>
    <phoneticPr fontId="1" type="noConversion"/>
  </si>
  <si>
    <t>The docstring says the result is always non-negative and that an ArithmeticException is thrown
when it cannot be represented as a non-negative int (including the Integer.MIN_VALUE abs issue).
That matches the fixed behavior and rules out returning Integer.MIN_VALUE like the buggy version can.</t>
    <phoneticPr fontId="1" type="noConversion"/>
  </si>
  <si>
    <t>org.mockito.internal.creation#MockSettingsImpl#serializable()'</t>
    <phoneticPr fontId="1" type="noConversion"/>
  </si>
  <si>
    <t>Buggy implementation configures “serializable” by adding an extra interface, instead of
turning on Mockito’s internal serializable mode.
Buggy:
- `return this.extraInterfaces(java.io.Serializable.class);`
Fixed:
- `this.serializable = true;`
- `return this;`
Impact: the mock may *implement Serializable* but still not be treated as “serializable mock”
by Mockito’s internals (e.g., it may not use the proper serializable mock mechanism), so
serialization-related behavior can be incorrect.</t>
    <phoneticPr fontId="1" type="noConversion"/>
  </si>
  <si>
    <t>The docstring says: “This method ensures that the mock object will implement the
Serializable marker interface” and stresses additivity with `extraInterfaces(...)`.
That matches the buggy behavior (implementing Serializable via extraInterfaces) rather than
the fixed behavior (setting an internal `serializable` flag). So the docstring reflects the
buggy interpretation of what “serializable()” means.</t>
    <phoneticPr fontId="1" type="noConversion"/>
  </si>
  <si>
    <t>'org.joda.time.field#FieldUtils#safeMultiply(java.lang#Long, java.lang#Integer)'</t>
  </si>
  <si>
    <t>Buggy code mishandles the special-case branch `val2 == -1` when `val1 == Long.MIN_VALUE`.
Buggy:
- `case -1: return -val1;`
Problem: `-Long.MIN_VALUE` overflows (it cannot be represented as a `long`), so this returns
Long.MIN_VALUE again instead of throwing.
Fixed:
- `case -1: if (val1 == Long.MIN_VALUE) { throw new ArithmeticException(...); } return -val1;`</t>
    <phoneticPr fontId="1" type="noConversion"/>
  </si>
  <si>
    <t>The docstring explicitly requires correctly detecting overflow for all inputs, and it even
calls out the exact edge case “Long.MIN_VALUE * -1” must be handled. That’s the fixed behavior,
not the buggy one (which overflows silently in that branch).</t>
    <phoneticPr fontId="1" type="noConversion"/>
  </si>
  <si>
    <t>'org.joda.time.format#DateTimeFormatter#parseInto(org.joda.time#ReadWritableInstant, java.lang#String, java.lang#Integer)'</t>
  </si>
  <si>
    <t>The buggy code passes the formatter’s fixed `iDefaultYear` into the parsing bucket,
which can cause the parsed result to use the wrong year when the input text does
not explicitly contain a year.
Buggy (bucket default year):
- `new DateTimeParserBucket(instantLocal, chrono, iLocale, iPivotYear, iDefaultYear)`
Fixed (bucket default year derived from the instant being updated):
- `new DateTimeParserBucket(instantLocal, chrono, iLocale, iPivotYear, chrono.year().get(instantLocal))`
Impact:
If `text` omits the year (e.g., parsing only month/day), the buggy version may overwrite
the instant’s year with `iDefaultYear` instead of keeping the instant’s current year.</t>
    <phoneticPr fontId="1" type="noConversion"/>
  </si>
  <si>
    <t>The docstring states that fields not present in the parsed text “will remain unmodified”
in the instant (unless the parser resets them). Using a fixed `iDefaultYear` can wrongly
reset the year even when the input has no year. The fixed code aligns with the docstring
by using the instant’s current year (`chrono.year().get(instantLocal)`) as the default.</t>
    <phoneticPr fontId="1" type="noConversion"/>
  </si>
  <si>
    <t>'org.joda.time#Period#normalizedStandard(org.joda.time#PeriodType)'</t>
  </si>
  <si>
    <t>The buggy code normalizes years/months assuming BOTH fields (years and months) exist in the
target PeriodType, and it uses int arithmetic that can overflow/behave wrong for large values.
Concretely, buggy code does:
- `years = FieldUtils.safeAdd(years, months / 12);`
- `months = months % 12;`
- then applies `withYears(years)` and `withMonths(months)` unconditionally if non-zero.
Problems:
1) It does NOT check whether `type` supports YEARS or MONTHS before setting them.
   If `type` is missing either YEARS or MONTHS, the buggy code may silently drop/warp the
   year/month portion instead of failing.
2) It does the normalization in `int` space (years + months/12, months%12). This can overflow
   or lose correctness for extreme values. The fixed code switches to `long totalMonths = years * 12L + months`
   and uses safe conversion back via `FieldUtils.safeToInt(...)`.</t>
    <phoneticPr fontId="1" type="noConversion"/>
  </si>
  <si>
    <t>The docstring claims year/month normalization always happens (“12 or more months is converted
into years … becomes 2 years and 3 months”) and says the returned fields are determined by
the provided PeriodType, but it does NOT state the crucial constraint that normalization
depends on whether the PeriodType supports YEARS and/or MONTHS, nor does it mention that
an unsupported configuration should throw (as the fixed code does).
So the docstring “inherits” the buggy expectation that normalization is always possible and
doesn’t document the required behavior when the PeriodType lacks YEARS or MONTHS.</t>
    <phoneticPr fontId="1" type="noConversion"/>
  </si>
  <si>
    <t>'org.joda.time#DateTimeZone#forOffsetHoursMinutes(java.lang#Integer, java.lang#Integer)'</t>
  </si>
  <si>
    <t>Two related issues in the buggy implementation:
(1) Overly restrictive minutes validation (cannot represent some valid offsets):
    Buggy:
      if (minutesOffset &lt; 0 || minutesOffset &gt; 59) throw ...
    This forbids negative minute values entirely, so inputs like (hoursOffset=0, minutesOffset=-30)
    (i.e., UTC-00:30) are rejected.
    Fixed:
      if (minutesOffset &lt; -59 || minutesOffset &gt; 59) throw ...
    Now minutes can be negative (within [-59, 59]).
(2) Missing sign-consistency handling / wrong combination rule if minutes were negative:
    Fixed adds:
      if (hoursOffset &gt; 0 &amp;&amp; minutesOffset &lt; 0) throw ...
    to prevent inconsistent inputs like (+5, -30).
    Fixed also changes the negative-hours combine step:
      minutesOffset = hoursInMinutes - Math.abs(minutesOffset);
    whereas buggy used:
      minutesOffset = hoursInMinutes - minutesOffset;
    This matters because once negative minutes are allowed, you must subtract the magnitude when hours are negative.</t>
    <phoneticPr fontId="1" type="noConversion"/>
  </si>
  <si>
    <t>The docstring states minutesOffset must be non-negative (“from 0 to 59”, “must be non-negative”)
and that the sign is determined exclusively by hoursOffset. That matches the buggy restriction,
and conflicts with the fixed behavior (which allows minutesOffset in [-59, 59] and only rejects
(+hours, -minutes) as invalid).</t>
    <phoneticPr fontId="1" type="noConversion"/>
  </si>
  <si>
    <t>The buggy code is missing the required validation for the hour component.
In the fixed code, this check is added:
  if (hoursOffset &lt; -23 || hoursOffset &gt; 23) {
      throw new IllegalArgumentException("Hours out of range: " + hoursOffset);
  }
The buggy code has no corresponding hoursOffset range check at all, so values like
hoursOffset = 24 (or -24, etc.) are not rejected early as “hours out of range”.</t>
    <phoneticPr fontId="1" type="noConversion"/>
  </si>
  <si>
    <t>The docstring constrains minutesOffset to [0, 59], but it never constrains hoursOffset
to the intended range (e.g., [-23, 23])—it only vaguely mentions “supported range”
for the total offset. That mirrors the buggy behavior (missing explicit hours range
validation) rather than the fixed behavior (explicitly rejecting out-of-range hours).</t>
    <phoneticPr fontId="1" type="noConversion"/>
  </si>
  <si>
    <t>no</t>
    <phoneticPr fontId="1" type="noConversion"/>
  </si>
  <si>
    <t>yes</t>
    <phoneticPr fontId="1" type="noConversion"/>
  </si>
  <si>
    <t>Yes for misguided</t>
    <phoneticPr fontId="1" type="noConversion"/>
  </si>
  <si>
    <t>No for misguided</t>
    <phoneticPr fontId="1" type="noConversion"/>
  </si>
  <si>
    <t>Yes for effective</t>
    <phoneticPr fontId="1" type="noConversion"/>
  </si>
  <si>
    <t>org.jfree.chart.imagemap#StandardToolTipTagFragmentGenerator#generateToolTipFragment(java.lang#String)</t>
  </si>
  <si>
    <t>In the buggy code, the returned fragment directly concatenates the raw input:
`return " title=\"" + toolTipText + "\" alt=\"\"";`
This fails to HTML-escape `toolTipText`, so special characters (or injected markup) can break the HTML or create an injection/XSS risk.
The fixed code changes this specific part to:
`" title=\"" + ImageMapUtilities.htmlEscape(toolTipText) + "\" alt=\"\"";`
which escapes the tooltip text before embedding it into HTML.</t>
    <phoneticPr fontId="1" type="noConversion"/>
  </si>
  <si>
    <t>The docstring explicitly states: “The input tooltip text is HTML-escaped to ensure safe rendering and prevent malformed markup or security vulnerabilities.”
That describes the fixed/intended behavior (escaping), not the buggy behavior (raw concatenation without escaping).</t>
    <phoneticPr fontId="1" type="noConversion"/>
  </si>
  <si>
    <t>org.jfree.data.time#TimeSeries#clone()</t>
  </si>
  <si>
    <t>The buggy code implements clone() by delegating to:
`Object clone = createCopy(0, getItemCount() - 1);`
This does not perform a true Java `clone()` of the object. In particular, it bypasses `super.clone()` and relies on `createCopy(...)`, which may not correctly clone all object state (especially internal fields beyond the data range), and it does not guarantee a proper independent copy of the internal list structure the way cloning typically requires.
The fixed code changes the cloning strategy to:
`TimeSeries clone = (TimeSeries) super.clone();`
and then explicitly deep-clones the internal data structure:
`clone.data = (List) ObjectUtilities.deepClone(this.data);`
ensuring the cloned TimeSeries has its own independent copy of the data list (and its elements), consistent with clone semantics.</t>
    <phoneticPr fontId="1" type="noConversion"/>
  </si>
  <si>
    <t>The docstring says this method creates a “shallow copy” but also claims the clone “maintains its own list of data items.”
That description aligns more with the buggy approach of copying items via `createCopy(...)` (a copy operation, not true cloning), and it does not mention deep-cloning of the internal data list/elements.
In contrast, the fixed code explicitly deep-clones `data`, which goes beyond a shallow copy. So the docstring still reflects the buggy/incorrect semantics rather than the fixed behavior.</t>
    <phoneticPr fontId="1" type="noConversion"/>
  </si>
  <si>
    <t>The buggy code removes the value from every row unconditionally:
`rowData.removeValue(columnKey);`
without checking whether that row actually contains `columnKey`.
The fixed code adds two key robustness/logic corrections:
1) Input/key validation at the start:
   - `if (columnKey == null) throw new IllegalArgumentException(...)`
   - `if (!this.columnKeys.contains(columnKey)) throw new UnknownKeyException(...)`
2) Per-row existence check before removal:
   - `int index = rowData.getIndex(columnKey);`
   - `if (index &gt;= 0) { rowData.removeValue(columnKey); }`
So the bug is that the buggy implementation may attempt to remove a non-existent key from a row (and it also silently proceeds even if the column key is unknown globally), leading to incorrect behavior and/or exceptions depending on `DefaultKeyedValues.removeValue` semantics.</t>
    <phoneticPr fontId="1" type="noConversion"/>
  </si>
  <si>
    <t>The docstring claims: “If the column key does not exist, this method has no effect.”
But the fixed code shows the intended behavior is to throw `UnknownKeyException` when the column key is not in `this.columnKeys`.
So the docstring still reflects the buggy behavior (silent no-op on unknown keys) rather than the fixed/intended behavior (exception on unknown key).</t>
    <phoneticPr fontId="1" type="noConversion"/>
  </si>
  <si>
    <t>In the buggy code, when the key is not found:
`if (index &lt; 0) { return; }`
the method silently does nothing.
The fixed code changes this behavior to throw:
`throw new UnknownKeyException("The key (" + key + ") is not recognised.");`
when `getIndex(key)` returns a negative value, i.e., the key is unknown.</t>
    <phoneticPr fontId="1" type="noConversion"/>
  </si>
  <si>
    <t>The docstring explicitly states: “If the key does not exist in the collection, this method does nothing.”
That matches the buggy behavior (silent return) and contradicts the fixed behavior (throws UnknownKeyException).
So the docstring still contains/describes the buggy semantics.</t>
    <phoneticPr fontId="1" type="noConversion"/>
  </si>
  <si>
    <t>org.jfree.chart.plot#CategoryPlot#getDomainAxisIndex(org.jfree.chart.axis#CategoryAxis)</t>
    <phoneticPr fontId="1" type="noConversion"/>
  </si>
  <si>
    <t>org.jfree.data#DefaultKeyedValues#removeValue(org.jfree.data#Comparable)</t>
    <phoneticPr fontId="1" type="noConversion"/>
  </si>
  <si>
    <t>org.jfree.data#DefaultKeyedValues2D#removeColumn(org.jfree.data#Comparable)</t>
    <phoneticPr fontId="1" type="noConversion"/>
  </si>
  <si>
    <t>The buggy code does not validate the input and directly calls:
`return this.domainAxes.indexOf(axis);`
The fixed code adds a null check:
`if (axis == null) { throw new IllegalArgumentException("Null 'axis' argument."); }`
before calling `indexOf(axis)`.
So the bug is that passing `null` was allowed (and would typically return -1 via `indexOf(null)`), but the intended behavior is to reject null with an IllegalArgumentException.</t>
    <phoneticPr fontId="1" type="noConversion"/>
  </si>
  <si>
    <t>The docstring says “A null argument is handled gracefully and will return -1...”, and the @return description also includes the null→-1 behavior.
That matches the buggy implementation and contradicts the fixed behavior, which throws IllegalArgumentException on null.
So the docstring still contains/describes the buggy semantics.</t>
    <phoneticPr fontId="1" type="noConversion"/>
  </si>
  <si>
    <t>org.jfree.chart.plot#CategoryPlot#getRangeAxisIndex(org.jfree.chart.axis#ValueAxis)</t>
    <phoneticPr fontId="1" type="noConversion"/>
  </si>
  <si>
    <t>The buggy code performs no input validation and immediately does:
`int result = this.rangeAxes.indexOf(axis);`
(and may recurse to the parent with the same `axis`).
The fixed code adds a required null check at the start:
`if (axis == null) { throw new IllegalArgumentException("Null 'axis' argument."); }`
So the bug is that `null` was previously accepted (and would typically yield -1 via `indexOf(null)` / parent search), but the intended behavior is to reject a null axis argument with an IllegalArgumentException.</t>
    <phoneticPr fontId="1" type="noConversion"/>
  </si>
  <si>
    <t>The docstring explicitly states that a null axis “is permitted and will result in a return value of -1,” and the @return section repeats null→-1.
That matches the buggy behavior and contradicts the fixed behavior (throwing IllegalArgumentException), so the docstring still contains/describes the buggy semantics.</t>
    <phoneticPr fontId="1" type="noConversion"/>
  </si>
  <si>
    <t>org.jfree.data#KeyedObjects2D#removeObject(org.jfree.data#Comparable, org.jfree.data#Comparable)</t>
  </si>
  <si>
    <t>The buggy code removes the cell by calling:
`setObject(null, rowKey, columnKey);`
and then only performs step (1): it checks whether the *row* is now entirely null and removes the row if empty.
However, it never implements step (2) ("check whether the column is now empty")—it ends with just a comment:
`// 2. check whether the column is now empty.`
The fixed code completes step (2) by:
- scanning all rows to see whether the specified column has any non-null values,
- if the column is all-null, removing that column’s values from each row and removing `columnKey` from `this.columnKeys`.
So the bug is the missing column-cleanup logic: empty columns are not removed after the object deletion.</t>
    <phoneticPr fontId="1" type="noConversion"/>
  </si>
  <si>
    <t>The docstring states that *both* empty rows and empty columns are automatically removed after deletion.
That is the intended/fixed behavior. The buggy implementation only removes empty rows and omits the empty-column removal logic, so the docstring does not describe the buggy behavior.</t>
    <phoneticPr fontId="1" type="noConversion"/>
  </si>
  <si>
    <t>In the buggy code, for the `includeInterval &amp;&amp; dataset instanceof IntervalXYDataset` case, it only considers:
`double lvalue = ixyd.getStartYValue(series, item);`
`double uvalue = ixyd.getEndYValue(series, item);`
and updates `minimum` with lvalue and `maximum` with uvalue.
It completely ignores the “central”/regular Y value:
`ixyd.getYValue(series, item)`
The fixed code adds:
`double value = ixyd.getYValue(series, item);`
and updates min/max using `value` as well as `lvalue` and `uvalue` (and for each of lvalue/uvalue it updates both min and max, not just one side).
So the bug is an incorrect range computation for IntervalXYDataset: the computed range may be wrong because it omits the dataset’s Y-values (and also fails to treat start/end values symmetrically for min/max).</t>
    <phoneticPr fontId="1" type="noConversion"/>
  </si>
  <si>
    <t>The docstring says that for IntervalXYDataset with includeInterval=true the method “uses start and end Y-values.”
That matches the buggy behavior (only start/end) and does not reflect the fixed behavior (which also incorporates the regular Y-values, and treats start/end values as candidates for both min and max).
So the docstring still describes the buggy/incorrect algorithm.</t>
    <phoneticPr fontId="1" type="noConversion"/>
  </si>
  <si>
    <t>org.jfree.data.general#DatasetUtilities#iterateRangeBounds(org.jfree.data.xy#XYDataset, java.lang#Boolean)</t>
    <phoneticPr fontId="1" type="noConversion"/>
  </si>
  <si>
    <t>org.jfree.data.general#DatasetUtilities#iterateDomainBounds(org.jfree.data.xy#XYDataset, java.lang#Boolean)</t>
    <phoneticPr fontId="1" type="noConversion"/>
  </si>
  <si>
    <t>In the buggy code, for the `includeInterval &amp;&amp; dataset instanceof IntervalXYDataset` case, it only considers:
`lvalue = intervalXYData.getStartXValue(series, item);`
`uvalue = intervalXYData.getEndXValue(series, item);`
and updates `minimum` from the start values and `maximum` from the end values.
It ignores the regular X value:
`intervalXYData.getXValue(series, item)`
and it also fails to treat start/end symmetrically as candidates for both min and max.
The fixed code adds:
`double value = intervalXYData.getXValue(series, item);`
and updates min/max using `value`, `lvalue`, and `uvalue`, with each of them potentially affecting both the minimum and maximum.
So the bug is an incorrect domain-range computation for IntervalXYDataset when includeInterval=true.</t>
    <phoneticPr fontId="1" type="noConversion"/>
  </si>
  <si>
    <t>The docstring says that when the dataset is an IntervalXYDataset and includeInterval is true, “the interval start and end X values are used to determine the bounds.”
That matches the buggy behavior (only start/end) and does not reflect the fixed behavior (which also includes the point X value and treats start/end as candidates for both min and max).
So the docstring still describes the buggy/incorrect algorithm.</t>
    <phoneticPr fontId="1" type="noConversion"/>
  </si>
  <si>
    <t>The buggy code clones the series and rebuilds `copy.data`, but it does not reset the cached range fields:
(no assignments to `copy.minY` / `copy.maxY`)
The fixed code adds:
`copy.minY = Double.NaN;`
`copy.maxY = Double.NaN;`
Without this reset, the copied series can inherit stale `minY/maxY` values from the original (via `super.clone()`), which may be inconsistent with the subset of items that were actually copied, leading to incorrect range computations later.</t>
    <phoneticPr fontId="1" type="noConversion"/>
  </si>
  <si>
    <t>The docstring describes the method as creating a deep copy of a subset of data items, but it does not mention that cached metadata/range fields (like min/max Y) must be recomputed or reset for the subset.
That omission means the docstring allows the buggy behavior (carrying over stale min/max state) while claiming the returned series represents just the copied subset correctly.
So the intended behavior about internal consistency of the copy is not fully captured, and the bug is not ruled out by the docstring.</t>
    <phoneticPr fontId="1" type="noConversion"/>
  </si>
  <si>
    <t>org.jfree.data.time#TimeSeries#createCopy(java.lang#Integer, java.lang#Integer)</t>
    <phoneticPr fontId="1" type="noConversion"/>
  </si>
  <si>
    <t>The buggy code incorrectly assigns defaults by overwriting `valueList` when the *explicit* values are missing:
`if ((valueList == null) || valueList.isEmpty()) { valueList = defaultValues; }`
and then, if that is still empty:
`valueList = (List) this.defaultValues.get(option);`
This prevents the method from *augmenting* an existing explicit `valueList` with additional default values (when defaults are longer), and it also conflates “current values” with “defaults” by storing defaults into `valueList` early.
The fixed code corrects the logic by:
1) Normalizing `defaultValues` first:
`if (defaultValues == null || defaultValues.isEmpty()) { defaultValues = (List) this.defaultValues.get(option); }`
2) If defaults exist and explicit values exist, augmenting only the missing tail:
- when `defaultValues.size() &gt; valueList.size()`, it copies `valueList` and appends defaults from index `valueList.size()` up to `defaultValues.size()-1`.
So the bug is that the buggy implementation fails to apply the intended “fill missing values from defaults” behavior (and effectively never performs the augmentation described in the comments / expected semantics).</t>
    <phoneticPr fontId="1" type="noConversion"/>
  </si>
  <si>
    <t>The docstring promises behavior that the buggy code does not implement:
- It describes a “priority-based value resolution strategy” and implies defaults are used appropriately.
- It also states “The returned list is a defensive copy” and “unmodifiable list,” but the buggy code directly returns internal lists (or the passed-in `defaultValues`) without copying or wrapping, so callers can mutate internal state.
Since the buggy method violates these described guarantees (augmentation behavior and defensive/unmodifiable return), the docstring still contains requirements that expose the buggy implementation as inconsistent with the intended behavior.</t>
    <phoneticPr fontId="1" type="noConversion"/>
  </si>
  <si>
    <t>In the buggy code, the option is stored into multiple key-based maps:
- `hashcodeMap.put(new Integer(opt.hashCode()), opt);`
- it chooses `key = opt.getKey()` or falls back to `opt.getLongOpt()`
- if a short key exists, it also does `names.put(opt.getLongOpt(), key);`
- finally `options.put(key, opt);`
This relies on `opt.hashCode()` and on key/longOpt mappings for identity and retrieval, which can cause incorrect behavior:
- collisions or instability if `hashCode()` is not unique or changes with mutable Option fields,
- `names.put(opt.getLongOpt(), key)` can store a mapping for a null long option (or overwrite an existing mapping) when longOpt is absent or duplicated,
- overwriting in `options.put(key, opt)` if two options share the same chosen key.
The fixed code removes all of this fragile mapping logic and simply does:
`options.add(opt);`
i.e., store the Option directly in a collection rather than indexing it by hashCode/keys.</t>
    <phoneticPr fontId="1" type="noConversion"/>
  </si>
  <si>
    <t>org.apache.commons.cli#CommandLine#addOption(org.apache.commons.cli#Option)</t>
    <phoneticPr fontId="1" type="noConversion"/>
  </si>
  <si>
    <t>org.apache.commons.cli2.commandline#WriteableCommandLineImpl#getValues(org.apache.commons.cli2.commandline#final Option, java.util#List)</t>
    <phoneticPr fontId="1" type="noConversion"/>
  </si>
  <si>
    <t>The docstring describes exactly the buggy behavior: storing by short key/long key and creating bidirectional mappings for lookup by either key.
But the fixed implementation no longer does any of that—it just appends the Option to a list.
So the docstring “contains the bug” in the sense that it specifies the old (buggy/incorrect) key-mapping design and guarantees (“uniquely identifiable and retrievable”) that are not achieved reliably by the buggy code and are not even implemented by the fixed code.</t>
    <phoneticPr fontId="1" type="noConversion"/>
  </si>
  <si>
    <t>org.apache.commons.cli#CommandLine#hasOption(java.lang#String)</t>
  </si>
  <si>
    <t>The buggy code only checks for a raw key match:
`return options.containsKey(opt);`
so it fails when the caller uses an alias/alternate name (e.g., long vs short form) that needs normalization.
The fixed code resolves the provided name first:
`return options.contains(resolveOption(opt));`
so `hasOption()` correctly recognizes options via the canonical Option object (after mapping/normalization), not just an exact key string.</t>
    <phoneticPr fontId="1" type="noConversion"/>
  </si>
  <si>
    <t>The docstring broadly says it “checks whether the command-line includes the specified option,” implying it should work for valid option names as users provide them.
But the buggy implementation only works for exact internal keys and does not handle resolved/aliased names, so it violates the intended meaning.
Also, the docstring claims “false otherwise or if the input is null,” but neither version shows an explicit null check here; the buggy version may throw a NullPointerException depending on the underlying map. So the docstring allows behavior the buggy code doesn’t reliably provide.</t>
    <phoneticPr fontId="1" type="noConversion"/>
  </si>
  <si>
    <t>The buggy code strips quotes independently:
- If it starts with `"`, it removes the first character:
  `str = str.substring(1, str.length());`
- Then if it ends with `"`, it removes the last character:
  `str = str.substring(0, length - 1);`
This causes incorrect behavior for inputs that have only one surrounding quote, or have embedded quotes, e.g.:
- `"abc` → becomes `abc` (leading quote removed even though no trailing quote)
- `abc"` → becomes `abc` (trailing quote removed even though no leading quote)
- `"a"b"` → buggy code strips outer quotes and returns `a"b`, even though the string contains an internal `"`.
The fixed code only strips when it is safe and truly “surrounding”:
`length &gt; 1 &amp;&amp; str.startsWith("\"") &amp;&amp; str.endsWith("\"")`
and additionally ensures there are no internal quotes:
`str.substring(1, length - 1).indexOf('"') == -1`
then does `str = str.substring(1, length - 1);`.</t>
    <phoneticPr fontId="1" type="noConversion"/>
  </si>
  <si>
    <t>org.apache.commons.cli#Util#stripLeadingAndTrailingQuotes(java.lang#String)</t>
    <phoneticPr fontId="1" type="noConversion"/>
  </si>
  <si>
    <t>The docstring says quotes are stripped “if both leading and trailing quotes are present” and otherwise the string is unchanged.
But the buggy code strips a leading quote even without a trailing quote, and strips a trailing quote even without a leading quote—contradicting the docstring.
Also, the docstring claims null is returned “as-is,” but neither version checks for null; the buggy code would throw a NullPointerException on `str.startsWith(...)`.
So the docstring includes expectations that the buggy implementation does not satisfy.</t>
    <phoneticPr fontId="1" type="noConversion"/>
  </si>
  <si>
    <t>org.apache.commons.cli#HelpFormatter#findWrapPos(java.lang#String, java.lang#Integer, java.lang#Integer)</t>
    <phoneticPr fontId="1" type="noConversion"/>
  </si>
  <si>
    <t>In the buggy code, when no whitespace is found before `startPos + width`, it enters the “search forward” loop:
`pos = startPos + width;`
`while ((pos &lt;= text.length()) &amp;&amp; ((c = text.charAt(pos)) != ' ') &amp;&amp; (c != '\n') &amp;&amp; (c != '\r')) { ++pos; }`
This is incorrect because it allows `pos == text.length()` but still calls:
`text.charAt(pos)`
which throws `StringIndexOutOfBoundsException` (valid indices are 0..length-1).
The fixed code removes this forward scan entirely and simply returns the chop position:
`pos = startPos + width;`
`return pos == text.length() ? -1 : pos;`
avoiding the out-of-bounds access.</t>
    <phoneticPr fontId="1" type="noConversion"/>
  </si>
  <si>
    <t>The docstring describes the intended behavior of finding a wrap position and falling back to the width limit safely.
It does not mention (or allow) an out-of-bounds exception when scanning forward, and it even claims input validation via IllegalArgumentException (not present in the shown code).
So the docstring reflects a safe wrapping routine, not the buggy behavior that can crash due to `charAt(text.length())`.</t>
    <phoneticPr fontId="1" type="noConversion"/>
  </si>
  <si>
    <t>The buggy code validates the wrong node type for both arguments:
`Preconditions.checkState(tryBody.isLabelName());`
`Preconditions.checkState(finallyBody.isLabelName());`
But a try-finally AST requires the try body and finally body to be *block* nodes.
The fixed code corrects the checks to:
`Preconditions.checkState(tryBody.isBlock());`
`Preconditions.checkState(finallyBody.isBlock());`
So the bug is incorrect precondition/type checking: it mistakenly requires LabelName nodes instead of Block nodes, which will reject valid inputs and/or allow constructing an invalid TRY node when callers pass the expected blocks.</t>
    <phoneticPr fontId="1" type="noConversion"/>
  </si>
  <si>
    <t>The docstring explicitly states that `tryBody` and `finallyBody` “should be a block statement.”
That matches the fixed behavior (isBlock) and contradicts the buggy behavior (isLabelName).
So the docstring does not contain the bug; it describes the intended/fixed requirement.</t>
    <phoneticPr fontId="1" type="noConversion"/>
  </si>
  <si>
    <t>com.google.javascript.rhino.jstype#JSType#isEmptyType()</t>
    <phoneticPr fontId="1" type="noConversion"/>
  </si>
  <si>
    <t>com.google.javascript.rhino#IR#tryFinally(com.google.javascript.rhino#Node, com.google.javascript.rhino#Node)</t>
    <phoneticPr fontId="1" type="noConversion"/>
  </si>
  <si>
    <t>The buggy code only treats these as “empty”:
`return isNoType() || isNoObjectType() || isNoResolvedType();`
It misses a specific empty/placeholder type case: when `this` is the native
`LEAST_FUNCTION_TYPE`. The fixed code adds an additional condition:
`(registry.getNativeFunctionType(JSTypeNative.LEAST_FUNCTION_TYPE) == this)`
So the bug is that `isEmptyType()` incorrectly returns false for the native least-function type, even though it should be considered an “empty/invalid” type state by the type system.</t>
    <phoneticPr fontId="1" type="noConversion"/>
  </si>
  <si>
    <t>The docstring describes “empty” types as those carrying “no meaningful type information” and being treated as having “no effective type constraints.”
Under the fixed semantics, LEAST_FUNCTION_TYPE is part of that set, but the docstring does not mention this special-case native type at all—so it doesn’t rule out the buggy behavior (returning false for it).
In other words, the docstring’s definition of “empty” is broad, but it omits the key special-case that was missing in the buggy code, so the buggy interpretation can still fit the docstring.</t>
    <phoneticPr fontId="1" type="noConversion"/>
  </si>
  <si>
    <t>The buggy code directly calls:
`return new String(bytes, Charsets.ISO_8859_1);`
If `bytes` is null, `new String(...)` throws a NullPointerException.
The fixed code routes through:
`return newString(bytes, Charsets.ISO_8859_1);`
which (by design in StringUtils) handles null input by returning null.
So the bug is missing null-handling for the input byte array.</t>
    <phoneticPr fontId="1" type="noConversion"/>
  </si>
  <si>
    <t>The docstring explicitly specifies: “If the input is null, this method returns null.”
That matches the fixed behavior (via `newString(...)`) and contradicts the buggy behavior (NullPointerException).
So the docstring does not contain the bug; it describes the intended/fixed behavior.</t>
    <phoneticPr fontId="1" type="noConversion"/>
  </si>
  <si>
    <t>In the buggy code, after trimming trailing NULs/spaces, it checks for an empty field:
`if (start == end) { throw new IllegalArgumentException(...); }`
The fixed code removes this empty-field check entirely. As a result, when the field contains only spaces/NULs (or becomes empty after trimming), the loop `for (; start &lt; end; start++)` executes zero times and the method returns `result` (which is 0) instead of throwing.
So the bug is that the buggy implementation wrongly throws an exception for a field that has no digits after trimming, whereas the intended behavior is to treat it as 0 (consistent with “all padding” fields).</t>
    <phoneticPr fontId="1" type="noConversion"/>
  </si>
  <si>
    <t>The docstring explicitly includes: “@throws IllegalArgumentException ... the field contains no valid content after trimming.”
That matches the buggy behavior (throw on empty after trimming) and contradicts the fixed behavior (return 0).
So the docstring still describes the buggy semantics.</t>
    <phoneticPr fontId="1" type="noConversion"/>
  </si>
  <si>
    <t>org.apache.commons.compress.archivers.tar#TarUtils#parseOctal(org.apache.commons.compress.archivers.tar#final byte[], org.apache.commons.compress.archivers.tar#final int, org.apache.commons.compress.archivers.tar#final int)</t>
    <phoneticPr fontId="1" type="noConversion"/>
  </si>
  <si>
    <t>org.apache.commons.codec.binary#StringUtils#newStringIso8859_1(org.apache.commons.codec.binary#final byte[])</t>
    <phoneticPr fontId="1" type="noConversion"/>
  </si>
  <si>
    <t>The buggy implementation treats the character '0' as *padding* (not a digit) while still in the “stillPadding” phase:
`if (currentByte == (byte) ' ' || currentByte == '0') { if (stillPadding) { continue; } ... }`
This means leading zeros are skipped as if they were spaces, so the parser can incorrectly accept formats like "0 1" (a space after a digit) by treating the leading '0' as padding and never transitioning out of padding until it sees a non-zero digit.
The fixed code removes this `stillPadding` / `'0' is padding` logic entirely and parses digits normally, while also enforcing TAR formatting rules such as:
- `length &gt;= 2`
- “all NUL” field returns 0
- requiring a trailing NUL or space (and optionally one more), otherwise throws.</t>
    <phoneticPr fontId="1" type="noConversion"/>
  </si>
  <si>
    <t>The docstring says only leading *spaces* are skipped, and that octal digits ('0' through '7') are parsed as digits, and that spaces after digits are invalid.
That intended behavior contradicts the buggy code’s behavior of treating '0' as padding (which can allow spaces after leading zeros), so the docstring does not contain the bug.</t>
    <phoneticPr fontId="1" type="noConversion"/>
  </si>
  <si>
    <t>In the buggy code, `validate()` enforces an additional constraint on headers:
```
if (header != null) {
final Set&lt;String&gt; set = new HashSet&lt;String&gt;(header.length);
set.addAll(Arrays.asList(header));
if (set.size() != header.length) {
throw new IllegalStateException("The header contains duplicate names: " + Arrays.toString(header));
}
}
```
The fixed code removes this entire block. So the bug is that the buggy version *incorrectly rejects* CSVFormat configurations that define a header containing duplicate column names, by throwing an IllegalStateException, while the intended behavior is to allow such headers (i.e., not treat duplicates as invalid at validation time).</t>
    <phoneticPr fontId="1" type="noConversion"/>
  </si>
  <si>
    <t>The docstring explicitly states: “If a header is defined, it must not contain duplicate column names.”
That matches the buggy behavior (throw on duplicates) and contradicts the fixed behavior (no duplicate-header validation).
So the docstring still contains/describes the buggy semantics.</t>
    <phoneticPr fontId="1" type="noConversion"/>
  </si>
  <si>
    <t>org.apache.commons.csv#CSVFormat#validate()</t>
    <phoneticPr fontId="1" type="noConversion"/>
  </si>
  <si>
    <t>The buggy code computes `newLen` as:
`int newLen = (len == MAX_SEGMENT_LEN) ? (MAX_SEGMENT_LEN+1)
    : Math.min(MAX_SEGMENT_LEN, len + (len &gt;&gt; 1));`
Two problems are visible in the changed lines:
1) When `len == MAX_SEGMENT_LEN`, it sets `newLen` to `MAX_SEGMENT_LEN + 1`,
   which explicitly exceeds the maximum.
2) For `len &lt; MAX_SEGMENT_LEN`, it clamps with `Math.min(MAX_SEGMENT_LEN, ...)`,
   so it never applies the intended “slow to increase by 25% when above the max-threshold”
   behavior—everything just grows by 50% until it hits the clamp.
The fixed code changes the strategy to:
- grow by 50%: `newLen = len + (len &gt;&gt; 1);`
- but if that would exceed MAX_SEGMENT_LEN, grow only by 25%: 
  `if (newLen &gt; MAX_SEGMENT_LEN) { newLen = len + (len &gt;&gt; 2); }`
This avoids exceeding the max and implements the intended slowdown near the maximum.</t>
    <phoneticPr fontId="1" type="noConversion"/>
  </si>
  <si>
    <t>The docstring explicitly claims the expanded length “will never exceed the maximum allowed segment length”
and that being at max should trigger an exception. The buggy code can exceed the maximum (`MAX_SEGMENT_LEN+1`)
and does not throw here, so the docstring describes the intended/fixed behavior rather than the buggy one.</t>
    <phoneticPr fontId="1" type="noConversion"/>
  </si>
  <si>
    <t>com.fasterxml.jackson.databind.node#TreeTraversingParser#getLongValue()</t>
    <phoneticPr fontId="1" type="noConversion"/>
  </si>
  <si>
    <t>com.fasterxml.jackson.core.util#TextBuffer#expandCurrentSegment()</t>
    <phoneticPr fontId="1" type="noConversion"/>
  </si>
  <si>
    <t>The buggy code directly returns:
`return node.longValue();`
without checking whether the current numeric value can be safely represented as a long.
The fixed code adds an overflow/range check before returning:
`if (!node.canConvertToInt()) { reportOverflowLong(); }`
then returns `node.longValue()`.
So the bug is missing overflow detection/handling: values outside the allowed range should trigger an overflow report instead of silently returning a truncated/wrapped/undefined long value.</t>
    <phoneticPr fontId="1" type="noConversion"/>
  </si>
  <si>
    <t>The docstring explicitly says: “If the value exceeds the range of a long, the result will be the closest long value, potentially leading to overflow.”
That describes silent overflow behavior, which matches the buggy implementation and contradicts the fixed behavior (which reports overflow via `reportOverflowLong()`).
So the docstring still contains/describes the buggy semantics.</t>
    <phoneticPr fontId="1" type="noConversion"/>
  </si>
  <si>
    <t>The buggy code uses `_hasNextChecked` and only performs the “advance / EOF handling” logic once:
`if (!_hasNextChecked) { ... _hasNextChecked = true; ... }`
After that, it always returns `true` as long as `_parser != null`:
`return true;`
This becomes incorrect when the iterator’s internal state changes (e.g., after reading a value, needing resync, or after the parser reaches END_ARRAY/EOF later). Because `_hasNextChecked` is never reset here and there is no explicit state machine, `hasNextValue()` can incorrectly keep returning `true` even when there is no next value available, violating idempotence/correctness.
The fixed code replaces this with an explicit state machine (`_state` with cases like STATE_NEED_RESYNC / STATE_MAY_HAVE_VALUE / STATE_HAS_VALUE / STATE_CLOSED), calling `_resync()` when needed and setting `_state = STATE_CLOSED` when END_ARRAY/EOF is reached, ensuring correct repeated calls.</t>
    <phoneticPr fontId="1" type="noConversion"/>
  </si>
  <si>
    <t>The docstring claims the method is “idempotent and safe to call multiple times” and will “consistently return the correct availability status.”
That is exactly what the buggy implementation can fail to do due to the one-time `_hasNextChecked` gating and lack of proper state transitions.
So the docstring describes the fixed/intended behavior, not the buggy behavior.</t>
    <phoneticPr fontId="1" type="noConversion"/>
  </si>
  <si>
    <t>com.fasterxml.jackson.databind#MappingIterator#hasNextValue()</t>
    <phoneticPr fontId="1" type="noConversion"/>
  </si>
  <si>
    <t>In the buggy code, `MapType` is constructed with `null` type bindings:
`return new MapType(rawType, null, _bogusSuperClass(rawType), null, keyT, valueT, ...);`
The fixed code fabricates proper `TypeBindings` from the raw type’s type parameters:
- `TypeVariable&lt;?&gt;[] vars = rawType.getTypeParameters();`
- if there are exactly 2, it does `TypeBindings.create(rawType, keyT, valueT)`,
  otherwise it uses `TypeBindings.emptyBindings()`,
and then passes `bindings` into the MapType constructor.
So the bug is missing/incorrect generic type binding resolution: the constructed `MapType` may lose or mis-handle the key/value generic parameters because bindings were left null.</t>
    <phoneticPr fontId="1" type="noConversion"/>
  </si>
  <si>
    <t>The docstring explicitly says the method “properly resolves type bindings” and “preserves the generic type parameters.”
That matches the fixed behavior (creating TypeBindings) and contradicts the buggy behavior (passing null bindings).
So the docstring describes the intended/fixed behavior, not the buggy one.</t>
    <phoneticPr fontId="1" type="noConversion"/>
  </si>
  <si>
    <t>org.jsoup.parser#CharacterReader#consumeToEnd()</t>
    <phoneticPr fontId="1" type="noConversion"/>
  </si>
  <si>
    <t>com.fasterxml.jackson.databind.type#MapType#construct(com.fasterxml.jackson.databind.type#Class&lt;?&gt;, com.fasterxml.jackson.databind#JavaType, com.fasterxml.jackson.databind#JavaType)</t>
    <phoneticPr fontId="1" type="noConversion"/>
  </si>
  <si>
    <t>The buggy code uses:
`String data = input.substring(pos, input.length() - 1);`
This incorrectly excludes the last character of the input (because `substring`’s end index is exclusive, and `input.length() - 1` stops before the final character).
The fixed code corrects the end index to include the full remainder:
`String data = input.substring(pos, input.length());`
so it truly consumes to the end.</t>
    <phoneticPr fontId="1" type="noConversion"/>
  </si>
  <si>
    <t>The docstring says it returns “the remainder ... to the end” and advances the position to the end.
That matches the fixed behavior. The buggy version drops the last character, so it does not satisfy the docstring.
(Also, the docstring mentions null handling, but neither version checks for null here.)</t>
    <phoneticPr fontId="1" type="noConversion"/>
  </si>
  <si>
    <t>org.jsoup.helper#DataUtil#getCharsetFromContentType(java.lang#String)</t>
  </si>
  <si>
    <t>In the buggy code, once a `charset=` parameter is found it always returns an uppercased token:
`charset = charset.toUpperCase(Locale.ENGLISH);`
`return charset;`
It never validates whether the extracted charset name is actually supported/valid.
So it can return bogus/unsupported charset labels (and also needlessly forces uppercase).
The fixed code adds validation using `Charset.isSupported(...)`:
- first tries the trimmed charset as-is: `if (Charset.isSupported(charset)) return charset;`
- then tries the uppercased version: `charset = charset.toUpperCase(...); if (Charset.isSupported(charset)) return charset;`
and otherwise returns null.
So the bug is missing charset validation (returning an invalid/unsupported charset instead of null).</t>
    <phoneticPr fontId="1" type="noConversion"/>
  </si>
  <si>
    <t>The docstring says it returns the charset name “in uppercase” if found, and returns null if there is no “valid charset declaration.”
That’s compatible with the buggy behavior of returning an uppercased token whenever a charset parameter exists, without actually checking validity.
It does not state that the method validates support via `Charset.isSupported`, nor that it may return the original (non-uppercased) value when valid, as the fixed code does.
So the docstring still aligns more with the buggy semantics than the fixed behavior.</t>
    <phoneticPr fontId="1" type="noConversion"/>
  </si>
  <si>
    <t>org.jsoup.nodes#Entities#unescape(java.lang#String, java.lang#Boolean)</t>
  </si>
  <si>
    <t>In the buggy code, the replacement condition is wrong:
`if (charval != -1 || charval &gt; 0xFFFF) { ... }`
Using `||` means *any* resolved numeric value (even invalid ones like 0, or values beyond what a single Java `char` can represent) will go down the “replace” path as long as `charval != -1`.
It then does:
`Character.toString((char) charval)`
which truncates values &gt; 0xFFFF (supplementary Unicode code points) into a single 16-bit `char`, producing incorrect characters (and it may also incorrectly unescape invalid numeric references like 0).
The fix removes this buggy manual logic entirely by delegating to:
`Parser.unescapeEntities(string, strict);`
which properly handles entity decoding (including validation and supplementary code points).</t>
    <phoneticPr fontId="1" type="noConversion"/>
  </si>
  <si>
    <t>The docstring states that invalid entities (including out-of-range Unicode values) are left unchanged, and that entities are converted to their corresponding Unicode characters.
The buggy implementation can incorrectly convert values it shouldn’t (and it mishandles values &gt; 0xFFFF by truncating them into a single `char`), which contradicts the docstring’s intended behavior.</t>
    <phoneticPr fontId="1" type="noConversion"/>
  </si>
  <si>
    <t>org.jsoup.nodes#XmlDeclaration#getWholeDeclaration()</t>
  </si>
  <si>
    <t>The buggy code special-cases only `decl.equals("xml") &amp;&amp; attributes.size() &gt; 1` and then manually appends just two attributes:
- `version` via `attributes.get("version")`
- `encoding` via `attributes.get("encoding")`
It ignores other valid declaration attributes (notably `standalone`), ignores any additional attributes, and for non-"xml" declarations it returns only `this.name` (dropping all attributes entirely). It also does not escape attribute values when concatenating.
The fixed code replaces all of that with:
`return attributes.html().trim(); // attr html starts with a " "`
which returns the complete declaration/attribute serialization produced by the attributes machinery (including all attributes, proper formatting, and escaping).</t>
    <phoneticPr fontId="1" type="noConversion"/>
  </si>
  <si>
    <t>The docstring specifies that the method returns the complete declaration including *all* attributes (and mentions standalone), and that values are escaped.
That matches the fixed behavior (delegating to `attributes.html()`) and contradicts the buggy behavior (dropping attributes, omitting standalone/others, and not escaping).</t>
    <phoneticPr fontId="1" type="noConversion"/>
  </si>
  <si>
    <t>org.jsoup.nodes#Attribute#getValue()</t>
  </si>
  <si>
    <t>The buggy code directly returns the backing field:
`return val;`
The fixed code changes this to:
`return Attributes.checkNotNull(val);`
So the bug is that `getValue()` could return `null`, but the intended invariant is that an Attribute’s value must be non-null (and null should be rejected/normalized), enforced via `checkNotNull`.</t>
    <phoneticPr fontId="1" type="noConversion"/>
  </si>
  <si>
    <t>The docstring explicitly says: “For attributes with no assigned value, this method may return null,” and the @return also allows null.
That matches the buggy behavior and contradicts the fixed behavior (which enforces non-null via `checkNotNull`).
So the docstring still contains/describes the buggy semantics.</t>
    <phoneticPr fontId="1" type="noConversion"/>
  </si>
  <si>
    <t>org.apache.commons.lang3.text.translate#NumericEntityUnescaper#translate(org.apache.commons.lang3.text.translate#CharSequence, java.lang#Integer, java.io#Writer)</t>
  </si>
  <si>
    <t>In the buggy code, the scan for the end of the entity is:
`while (input.charAt(end) != ';') { end++; }`
There are two concrete issues revealed by the fix:
1) It never checks `end &lt; seqEnd`, so if there is no semicolon, `end` runs past the end of the input and `input.charAt(end)` throws IndexOutOfBounds.
2) It treats everything up to the next `;` as part of the number (no digit/hex validation while scanning), so it can over-consume unrelated text and mis-parse.
The fixed code replaces this with a bounded, character-class scan:
`while (end &lt; seqEnd &amp;&amp; (is digit or hex digit)) { end++; }`
and then consumes an optional semicolon via:
`boolean semiNext = (end != seqEnd) &amp;&amp; (input.charAt(end) == ';');`
So the bug is unsafe/unbounded parsing of numeric entities (requiring `;` and potentially reading past the end / consuming non-numeric characters).</t>
    <phoneticPr fontId="1" type="noConversion"/>
  </si>
  <si>
    <t>The docstring says malformed entities should just result in returning 0 (no translation), which implies it should not crash on missing ';' or invalid characters.
The buggy implementation can throw due to the unbounded `while(input.charAt(end) != ';')` loop, so the docstring describes the intended/fixed safe behavior rather than the buggy one.</t>
    <phoneticPr fontId="1" type="noConversion"/>
  </si>
  <si>
    <t>org.apache.commons.lang3#ArrayUtils#add(org.apache.commons.lang3#T[], org.apache.commons.lang3#T)</t>
  </si>
  <si>
    <t>In the buggy code, when both inputs are null, it silently falls back to:
`type = Object.class;`
This allows `add(null, null)` to proceed, creating an `Object[]` (via `copyArrayGrow1`) even though the generic component type `T` cannot be inferred safely.
The fixed code replaces that fallback with:
`throw new IllegalArgumentException("Arguments cannot both be null");`
So the bug is missing validation for the ambiguous case where both `array` and `element` are null.</t>
    <phoneticPr fontId="1" type="noConversion"/>
  </si>
  <si>
    <t>The docstring explicitly requires throwing `IllegalArgumentException` when both `array` and `element` are null.
That matches the fixed behavior and contradicts the buggy behavior (which proceeds using `Object.class`), so the docstring does not contain the bug.</t>
    <phoneticPr fontId="1" type="noConversion"/>
  </si>
  <si>
    <t>org.apache.commons.lang#ClassUtils#getPackageName(java.lang#String)</t>
  </si>
  <si>
    <t>The buggy code has comments for handling JVM encodings (“Strip array encoding” / “Strip Object type encoding”)
but does not implement them. It only does:
`int i = className.lastIndexOf(PACKAGE_SEPARATOR_CHAR);`
and returns `className.substring(0, i)`.
As a result, it returns incorrect package names for JVM signature forms like:
- array signatures starting with '[' (e.g., "[[Ljava.lang.String;")
- object type signatures wrapped with 'L' ... ';' (e.g., "Ljava/lang/String;")
The fixed code adds the missing stripping logic:
- removes leading '[' characters in a loop,
- strips leading 'L' and trailing ';' for object signatures,
and also adds an empty-string guard (`className.length() == 0`).</t>
    <phoneticPr fontId="1" type="noConversion"/>
  </si>
  <si>
    <t>The docstring explicitly states it handles array type signatures and object type signatures, and returns empty string for malformed inputs.
That matches the fixed behavior (which strips those encodings) and contradicts the buggy behavior (which doesn’t handle them at all).
So the docstring does not contain the bug.</t>
    <phoneticPr fontId="1" type="noConversion"/>
  </si>
  <si>
    <t>In the buggy code, the zero-divisor case returns infinity for any non-zero complex:
`if (divisor == 0d) { return isZero ? NaN : INF; }`
The fixed code changes this behavior to always return NaN when dividing by zero:
`if (divisor == 0d) { return NaN; }`
So the bug is incorrect handling of division by zero for a real scalar divisor: it returned `INF` for non-zero / 0, but the intended behavior is `NaN`.</t>
    <phoneticPr fontId="1" type="noConversion"/>
  </si>
  <si>
    <t>The docstring explicitly describes the buggy semantics: if divisor is zero and the complex is non-zero, return `INF`.
That contradicts the fixed behavior (always `NaN` for divisor == 0), so the docstring still contains/describes the buggy behavior.</t>
    <phoneticPr fontId="1" type="noConversion"/>
  </si>
  <si>
    <t>org.apache.commons.math.complex#Complex#divide(java.lang#Double)</t>
    <phoneticPr fontId="1" type="noConversion"/>
  </si>
  <si>
    <t>In the buggy code, the zero-divisor case unconditionally returns NaN:
`if (divisor == 0d) { return NaN; }`
The fixed code changes this to distinguish 0/0 from nonzero/0:
`if (divisor == 0d) { return isZero ? NaN : INF; }`
So the bug is incorrect handling of division by zero: dividing a non-zero complex number by 0 should yield `INF`, but the buggy implementation returned `NaN` for all divisor==0 cases.</t>
    <phoneticPr fontId="1" type="noConversion"/>
  </si>
  <si>
    <t>The docstring states: “If the divisor is zero, the result is NaN.”
That matches the buggy behavior and contradicts the fixed behavior (non-zero / 0 -&gt; INF).
So the docstring still contains/describes the buggy semantics.</t>
    <phoneticPr fontId="1" type="noConversion"/>
  </si>
  <si>
    <t>org.apache.commons.math.complex#Complex#divide(org.apache.commons.math.complex#Complex)</t>
  </si>
  <si>
    <t>In the buggy code, the zero-divisor check is:
`if (divisor.getReal() == 0.0 &amp;&amp; divisor.getImaginary() == 0.0) { return NaN; }`
This makes *every* division by (0 + 0i) return `NaN`, even when this complex number is non-zero.
The fixed code changes the condition and behavior to:
`if (divisor.isZero) { return isZero ? NaN : INF; }`
So the bug is incorrect division-by-zero handling for complex divisors: non-zero / (0+0i) should return `INF`, while 0/(0+0i) remains `NaN`.</t>
    <phoneticPr fontId="1" type="noConversion"/>
  </si>
  <si>
    <t>The docstring states: “If the divisor represents zero (0 + 0i), the result is NaN.”
That matches the buggy behavior (always NaN for zero divisor) and contradicts the fixed behavior (non-zero divided by zero -&gt; INF).
So the docstring still contains/describes the buggy semantics.</t>
    <phoneticPr fontId="1" type="noConversion"/>
  </si>
  <si>
    <t>org.apache.commons.math3.complex#Complex#reciprocal()</t>
  </si>
  <si>
    <t>In the buggy code, the zero check returns NaN:
`if (real == 0.0 &amp;&amp; imaginary == 0.0) { return NaN; }`
The fixed code changes this behavior to:
`if (real == 0.0 &amp;&amp; imaginary == 0.0) { return INF; }`
So the bug is incorrect special-case handling for the reciprocal of zero: 1 / (0 + 0i) should yield `INF`, but the buggy implementation returned `NaN`.</t>
    <phoneticPr fontId="1" type="noConversion"/>
  </si>
  <si>
    <t>The docstring explicitly says: “If this number is zero ... returns NaN.”
That matches the buggy behavior and contradicts the fixed behavior (returns INF for zero).
So the docstring still contains/describes the buggy semantics.</t>
    <phoneticPr fontId="1" type="noConversion"/>
  </si>
  <si>
    <t>The buggy code implements equality as:
`return (Double.isNaN(x) &amp;&amp; Double.isNaN(y)) || x == y;`
This is not a bitwise/IEEE-754 exact comparison:
- `x == y` treats `-0.0` and `+0.0` as equal (but a bitwise comparison would treat them as different).
- It also does not compare NaN payloads bitwise (it just treats any NaN as equal if both are NaN).
The fixed code delegates to the tolerance-aware overload:
`return equals(x, y, 1);`
so equality is no longer “exact”; it’s based on an ULP/epsilon-style comparison implemented in `equals(x, y, int ulps)`.
So the bug is an incorrect implementation relative to the intended semantics: the method should not use plain `==` (nor only NaN special-casing) but should use the library’s standard ULP-based equality logic (and/or handle -0.0 vs +0.0 per the intended contract).</t>
    <phoneticPr fontId="1" type="noConversion"/>
  </si>
  <si>
    <t>The docstring claims “bitwise equal” semantics and explicitly says it treats `-0.0` and `+0.0` as distinct.
The buggy implementation uses `x == y`, which treats `-0.0` and `+0.0` as equal, contradicting the docstring.
Also, the fixed code now calls `equals(x, y, 1)`, which is not bitwise equality either; it’s a tolerance/ULP-based comparison. So the docstring describes a behavior that the buggy code fails to provide (and the fixed code changes away from), meaning the docstring still contains the mismatched (buggy) specification.</t>
    <phoneticPr fontId="1" type="noConversion"/>
  </si>
  <si>
    <t>org.apache.commons.math.optimization#MultiStartUnivariateRealOptimizer#getFunctionValue()</t>
  </si>
  <si>
    <t>The buggy code returns the function value from the underlying single-run optimizer:
`return optimizer.getFunctionValue();`
But in a multi-start optimizer, the “last optimization” may not correspond to the *best* result across starts, and the underlying optimizer’s function value may reflect the most recent run (or even an arbitrary run), not the selected optimum.
The fixed code returns:
`return optimaValues[0];`
which (by design of multi-start implementations) stores the best objective value after sorting collected optima (best first).
So the bug is that `getFunctionValue()` reported the wrong objective value for the multi-start wrapper: it should return the best stored optimum value, not whatever the wrapped optimizer last holds.</t>
    <phoneticPr fontId="1" type="noConversion"/>
  </si>
  <si>
    <t>org.apache.commons.math.util#MathUtils#equals(java.lang#Double, java.lang#Double)</t>
    <phoneticPr fontId="1" type="noConversion"/>
  </si>
  <si>
    <t>The docstring says it returns the value “at the point where the last optimization converged.”
That aligns with the buggy behavior of delegating to the underlying optimizer’s last-run value, rather than returning the best (stored) multi-start optimum.
So the docstring matches the buggy semantics and does not reflect the fixed behavior (best value in `optimaValues[0]`).</t>
    <phoneticPr fontId="1" type="noConversion"/>
  </si>
  <si>
    <t>org.mockito.internal.creation#MockSettingsImpl#serializable()</t>
  </si>
  <si>
    <t>In the buggy code, `serializable()` is implemented by adding an extra interface:
`return this.extraInterfaces(java.io.Serializable.class);`
But making a mock “serializable” in Mockito is not just “implements Serializable”; it also requires the internal settings flag to be set so the mock is created with the proper serializable mode/behavior.
The fixed code sets that flag:
`this.serializable = true;`
and returns `this`.
So the bug is that the buggy implementation mis-configures serializability by only adding the Serializable interface instead of actually enabling Mockito’s serializable setting.</t>
    <phoneticPr fontId="1" type="noConversion"/>
  </si>
  <si>
    <t>The docstring explicitly defines serializable configuration as “ensuring that Serializable is included in the list of extra interfaces.”
That is exactly what the buggy code does, and it omits the real requirement (setting the internal `serializable` flag / serializable mode).
So the docstring still contains the buggy semantics and does not describe the fixed/intended behavior.</t>
    <phoneticPr fontId="1" type="noConversion"/>
  </si>
  <si>
    <t>org.mockito.internal.stubbing.defaultanswers#ReturnsEmptyValues#answer(org.mockito.invocation#InvocationOnMock)</t>
  </si>
  <si>
    <t>In the buggy code, the `compareTo()` special case always returns 1:
`return 1;`
This violates the Comparable contract’s reflexivity requirement because `x.compareTo(x)` must be 0.  
The fixed code corrects this by checking whether the mock is being compared to itself:
`return invocation.getMock() == invocation.getArguments()[0] ? 0 : 1;`</t>
    <phoneticPr fontId="1" type="noConversion"/>
  </si>
  <si>
    <t>The docstring explicitly states that for `compareTo()` it “ensures reflexivity by returning 0 if the mock is compared to itself, and 1 otherwise.”
That matches the fixed behavior and contradicts the buggy behavior (always returning 1), so the docstring does not contain the bug.</t>
    <phoneticPr fontId="1" type="noConversion"/>
  </si>
  <si>
    <t>org.joda.time#LocalDate#fromDateFields(java.util#Date)</t>
  </si>
  <si>
    <t>The buggy code always constructs the LocalDate directly from deprecated Date fields:
`return new LocalDate(date.getYear() + 1900, date.getMonth() + 1, date.getDate());`
This fails for BC-era dates (negative instants), because `Date#getYear()` etc. do not correctly represent years before 1970 / BC handling.
The fixed code adds a check:
`if (date.getTime() &lt; 0) { GregorianCalendar cal = new GregorianCalendar(); cal.setTime(date); return fromCalendarFields(cal); }`
so negative instants are converted via a Calendar, which correctly handles era/BC dates.</t>
    <phoneticPr fontId="1" type="noConversion"/>
  </si>
  <si>
    <t>The docstring claims the method “treats the Date as an instant in time” and “properly handles the conversion”
to the calendar date in the default time zone. The buggy implementation does not do that—it just reads Date’s
deprecated fields, which are not a correct “instant-to-local-date” conversion for negative instants/BC cases.
Because the docstring describes correct handling that the buggy code does not provide, it implicitly rules out the buggy behavior and thus exposes the bug as a mismatch with the documented intended behavior.</t>
    <phoneticPr fontId="1" type="noConversion"/>
  </si>
  <si>
    <t>org.joda.time#DateTimeZone#forOffsetHoursMinutes(java.lang#Integer, java.lang#Integer)</t>
  </si>
  <si>
    <t>The buggy code enforces minutes to be non-negative only:
`if (minutesOffset &lt; 0 || minutesOffset &gt; 59) { throw ... }`
and then, for negative hours, it does:
`minutesOffset = hoursInMinutes - minutesOffset;`
This makes it impossible to express offsets like -05:30 using (hours=-5, minutes=30) in a sign-consistent way, and it also mishandles sign semantics (it assumes minutes is always positive and subtracts it for negative hours, without clearly enforcing/normalizing sign rules).
The fixed code corrects this by:
- allowing minutes in [-59, 59]:
  `if (minutesOffset &lt; -59 || minutesOffset &gt; 59) throw ...`
- rejecting inconsistent signs explicitly:
  `if (hoursOffset &gt; 0 &amp;&amp; minutesOffset &lt; 0) throw ...`
- and for negative hours, subtracting the absolute minutes:
  `minutesOffset = hoursInMinutes - Math.abs(minutesOffset);`
so the combined offset is computed consistently.</t>
    <phoneticPr fontId="1" type="noConversion"/>
  </si>
  <si>
    <t>The docstring says “Both hours and minutes must have the same sign” but also says
“minutes is 0 to 59 inclusive” and shows the formula as `(hoursOffset * 60 + minutesOffset)`.
That description matches the buggy assumption that minutes is never negative and implies
sign-handling is done implicitly, which is exactly where the buggy behavior arises.
It does not clearly specify the corrected acceptance of negative minutes ([-59, 59]) nor the
explicit validation for mixed signs (as in the fixed code). So the docstring still reflects the
buggy/incorrect specification around minutes range and sign handling.</t>
    <phoneticPr fontId="1" type="noConversion"/>
  </si>
  <si>
    <t>with error and misguided</t>
    <phoneticPr fontId="1" type="noConversion"/>
  </si>
  <si>
    <t>no error and misguided</t>
    <phoneticPr fontId="1" type="noConversion"/>
  </si>
  <si>
    <t>with error and effective</t>
    <phoneticPr fontId="1" type="noConversion"/>
  </si>
  <si>
    <t>no error and effective</t>
    <phoneticPr fontId="1" type="noConversion"/>
  </si>
  <si>
    <t>Contain bug</t>
    <phoneticPr fontId="1" type="noConversion"/>
  </si>
  <si>
    <t>no bug</t>
    <phoneticPr fontId="1" type="noConversion"/>
  </si>
  <si>
    <t>Logical mistake inherited</t>
    <phoneticPr fontId="1" type="noConversion"/>
  </si>
  <si>
    <t>Logical mistake removed</t>
    <phoneticPr fontId="1" type="noConversion"/>
  </si>
  <si>
    <t>Robustness Omission inherited</t>
    <phoneticPr fontId="1" type="noConversion"/>
  </si>
  <si>
    <t>7,8,10,11,12, 20, 21, 22, 26, 27, 28, 30, 41, 58, 80, 107, 143, 162, 240, 241, 242, 255, 259, 262, 289, 292, 299, 316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</si>
</sst>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theme="1"/>
      <name val="等线"/>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quotePrefix="1">
      <alignment vertical="center"/>
    </xf>
    <xf numFmtId="0" fontId="0" fillId="0" borderId="0" xfId="0" applyAlignment="1">
      <alignment vertical="center" wrapText="1"/>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C79F-C124-410B-B44E-CB15B78759E0}">
  <dimension ref="A1:L91"/>
  <sheetViews>
    <sheetView topLeftCell="B5" zoomScaleNormal="100" workbookViewId="0">
      <selection activeCell="J7" sqref="J7"/>
    </sheetView>
  </sheetViews>
  <sheetFormatPr defaultRowHeight="14" x14ac:dyDescent="0.3"/>
  <cols>
    <col min="1" max="1" width="4.75" customWidth="1"/>
    <col min="2" max="2" width="35.83203125" customWidth="1"/>
    <col min="3" max="3" width="73.58203125" customWidth="1"/>
    <col min="4" max="4" width="19.6640625" customWidth="1"/>
    <col min="5" max="5" width="5.58203125" customWidth="1"/>
    <col min="6" max="6" width="75.4140625" customWidth="1"/>
    <col min="7" max="7" width="18.4140625" customWidth="1"/>
    <col min="8" max="8" width="16.75" customWidth="1"/>
    <col min="9" max="9" width="35.1640625" customWidth="1"/>
    <col min="11" max="11" width="30" customWidth="1"/>
  </cols>
  <sheetData>
    <row r="1" spans="1:12" x14ac:dyDescent="0.3">
      <c r="A1" t="s">
        <v>5</v>
      </c>
      <c r="B1" t="s">
        <v>0</v>
      </c>
      <c r="C1" t="s">
        <v>1</v>
      </c>
      <c r="D1" t="s">
        <v>2</v>
      </c>
      <c r="E1" t="s">
        <v>9</v>
      </c>
      <c r="F1" t="s">
        <v>16</v>
      </c>
      <c r="G1" t="s">
        <v>3</v>
      </c>
      <c r="H1" t="s">
        <v>4</v>
      </c>
    </row>
    <row r="2" spans="1:12" ht="140" x14ac:dyDescent="0.3">
      <c r="A2">
        <v>0</v>
      </c>
      <c r="B2" s="1" t="s">
        <v>6</v>
      </c>
      <c r="C2" s="2" t="s">
        <v>20</v>
      </c>
      <c r="D2" t="s">
        <v>8</v>
      </c>
      <c r="E2" t="s">
        <v>11</v>
      </c>
      <c r="F2" s="2" t="s">
        <v>21</v>
      </c>
      <c r="G2" t="s">
        <v>271</v>
      </c>
      <c r="H2" t="s">
        <v>271</v>
      </c>
      <c r="I2" t="s">
        <v>273</v>
      </c>
      <c r="J2">
        <f>COUNTIF(G2:G100,"yes")</f>
        <v>29</v>
      </c>
      <c r="K2" t="s">
        <v>407</v>
      </c>
      <c r="L2">
        <f>COUNTIF(E2:E100,"Yes")</f>
        <v>27</v>
      </c>
    </row>
    <row r="3" spans="1:12" ht="364" x14ac:dyDescent="0.3">
      <c r="A3">
        <v>1</v>
      </c>
      <c r="B3" s="1" t="s">
        <v>6</v>
      </c>
      <c r="C3" s="2" t="s">
        <v>18</v>
      </c>
      <c r="D3" t="s">
        <v>12</v>
      </c>
      <c r="E3" t="s">
        <v>11</v>
      </c>
      <c r="F3" s="2" t="s">
        <v>19</v>
      </c>
      <c r="G3" t="s">
        <v>271</v>
      </c>
      <c r="H3" t="s">
        <v>272</v>
      </c>
      <c r="I3" t="s">
        <v>274</v>
      </c>
      <c r="J3">
        <f>COUNTIF(G2:G100,"no")</f>
        <v>60</v>
      </c>
      <c r="K3" t="s">
        <v>408</v>
      </c>
      <c r="L3">
        <f>COUNTIF(E2:E100,"No")</f>
        <v>62</v>
      </c>
    </row>
    <row r="4" spans="1:12" ht="210" x14ac:dyDescent="0.3">
      <c r="A4">
        <v>2</v>
      </c>
      <c r="B4" s="1" t="s">
        <v>14</v>
      </c>
      <c r="C4" s="2" t="s">
        <v>15</v>
      </c>
      <c r="D4" t="s">
        <v>8</v>
      </c>
      <c r="E4" t="s">
        <v>10</v>
      </c>
      <c r="F4" s="2" t="s">
        <v>17</v>
      </c>
      <c r="G4" t="s">
        <v>271</v>
      </c>
      <c r="H4" t="s">
        <v>271</v>
      </c>
      <c r="I4" t="s">
        <v>275</v>
      </c>
      <c r="J4">
        <f>COUNTIF(H2:H100,"yes")</f>
        <v>45</v>
      </c>
      <c r="K4" t="s">
        <v>409</v>
      </c>
      <c r="L4">
        <f>COUNTIFS(E2:E100,"Yes",D2:D100,"Logical Mistakes")</f>
        <v>15</v>
      </c>
    </row>
    <row r="5" spans="1:12" ht="154" x14ac:dyDescent="0.3">
      <c r="A5">
        <v>3</v>
      </c>
      <c r="B5" s="1" t="s">
        <v>22</v>
      </c>
      <c r="C5" s="2" t="s">
        <v>23</v>
      </c>
      <c r="D5" t="s">
        <v>8</v>
      </c>
      <c r="E5" t="s">
        <v>24</v>
      </c>
      <c r="F5" s="2" t="s">
        <v>26</v>
      </c>
      <c r="G5" t="s">
        <v>271</v>
      </c>
      <c r="H5" t="s">
        <v>271</v>
      </c>
      <c r="I5" t="s">
        <v>274</v>
      </c>
      <c r="J5">
        <f>COUNTIF(H2:H100,"no")</f>
        <v>44</v>
      </c>
      <c r="K5" t="s">
        <v>410</v>
      </c>
      <c r="L5">
        <f>COUNTIFS(E2:E100,"No",D2:D100,"Logical Mistakes")</f>
        <v>31</v>
      </c>
    </row>
    <row r="6" spans="1:12" ht="210" x14ac:dyDescent="0.3">
      <c r="A6">
        <v>4</v>
      </c>
      <c r="B6" s="1" t="s">
        <v>28</v>
      </c>
      <c r="C6" s="2" t="s">
        <v>27</v>
      </c>
      <c r="D6" t="s">
        <v>8</v>
      </c>
      <c r="E6" t="s">
        <v>10</v>
      </c>
      <c r="F6" s="2" t="s">
        <v>29</v>
      </c>
      <c r="G6" t="s">
        <v>271</v>
      </c>
      <c r="H6" t="s">
        <v>271</v>
      </c>
      <c r="I6" t="s">
        <v>403</v>
      </c>
      <c r="J6">
        <f>COUNTIFS(E2:E100,"Yes", G2:G100,"Yes")</f>
        <v>20</v>
      </c>
      <c r="K6" t="s">
        <v>411</v>
      </c>
      <c r="L6">
        <f>COUNTIFS(E2:E100,"Yes",D2:D100,"Robustness Omissions")</f>
        <v>12</v>
      </c>
    </row>
    <row r="7" spans="1:12" ht="140" x14ac:dyDescent="0.3">
      <c r="A7">
        <v>5</v>
      </c>
      <c r="B7" s="1" t="s">
        <v>30</v>
      </c>
      <c r="C7" s="2" t="s">
        <v>31</v>
      </c>
      <c r="D7" t="s">
        <v>8</v>
      </c>
      <c r="E7" t="s">
        <v>24</v>
      </c>
      <c r="F7" s="2" t="s">
        <v>32</v>
      </c>
      <c r="G7" t="s">
        <v>271</v>
      </c>
      <c r="H7" t="s">
        <v>271</v>
      </c>
      <c r="I7" t="s">
        <v>404</v>
      </c>
      <c r="J7">
        <f>COUNTIFS(E2:E100,"No", G2:G100,"Yes")</f>
        <v>9</v>
      </c>
      <c r="K7" t="s">
        <v>411</v>
      </c>
      <c r="L7">
        <f>COUNTIFS(E5:E103,"No",D2:D100,"Robustness Omissions")</f>
        <v>25</v>
      </c>
    </row>
    <row r="8" spans="1:12" ht="252" x14ac:dyDescent="0.3">
      <c r="A8">
        <v>8</v>
      </c>
      <c r="B8" s="1" t="s">
        <v>33</v>
      </c>
      <c r="C8" s="2" t="s">
        <v>34</v>
      </c>
      <c r="D8" t="s">
        <v>8</v>
      </c>
      <c r="E8" t="s">
        <v>25</v>
      </c>
      <c r="F8" s="2" t="s">
        <v>35</v>
      </c>
      <c r="G8" t="s">
        <v>272</v>
      </c>
      <c r="H8" t="s">
        <v>272</v>
      </c>
      <c r="I8" t="s">
        <v>405</v>
      </c>
      <c r="J8">
        <f>COUNTIFS(E2:E100,"Yes", H2:H100,"Yes")</f>
        <v>5</v>
      </c>
    </row>
    <row r="9" spans="1:12" ht="252" x14ac:dyDescent="0.3">
      <c r="A9">
        <v>10</v>
      </c>
      <c r="B9" s="1" t="s">
        <v>36</v>
      </c>
      <c r="C9" s="2" t="s">
        <v>34</v>
      </c>
      <c r="D9" t="s">
        <v>7</v>
      </c>
      <c r="E9" t="s">
        <v>24</v>
      </c>
      <c r="F9" s="2" t="s">
        <v>35</v>
      </c>
      <c r="G9" t="s">
        <v>272</v>
      </c>
      <c r="H9" t="s">
        <v>271</v>
      </c>
      <c r="I9" t="s">
        <v>406</v>
      </c>
      <c r="J9">
        <f>COUNTIFS(E2:E100,"No", H2:H100,"Yes")</f>
        <v>40</v>
      </c>
    </row>
    <row r="10" spans="1:12" ht="112" x14ac:dyDescent="0.3">
      <c r="A10">
        <v>11</v>
      </c>
      <c r="B10" s="1" t="s">
        <v>37</v>
      </c>
      <c r="C10" s="2" t="s">
        <v>38</v>
      </c>
      <c r="D10" t="s">
        <v>7</v>
      </c>
      <c r="E10" t="s">
        <v>10</v>
      </c>
      <c r="F10" s="2" t="s">
        <v>39</v>
      </c>
      <c r="G10" t="s">
        <v>271</v>
      </c>
      <c r="H10" t="s">
        <v>272</v>
      </c>
    </row>
    <row r="11" spans="1:12" ht="126" x14ac:dyDescent="0.3">
      <c r="A11">
        <v>12</v>
      </c>
      <c r="B11" s="1" t="s">
        <v>40</v>
      </c>
      <c r="C11" s="2" t="s">
        <v>41</v>
      </c>
      <c r="D11" t="s">
        <v>7</v>
      </c>
      <c r="E11" t="s">
        <v>10</v>
      </c>
      <c r="F11" s="2" t="s">
        <v>42</v>
      </c>
      <c r="G11" t="s">
        <v>271</v>
      </c>
      <c r="H11" t="s">
        <v>272</v>
      </c>
    </row>
    <row r="12" spans="1:12" ht="182" x14ac:dyDescent="0.3">
      <c r="A12">
        <v>19</v>
      </c>
      <c r="B12" s="1" t="s">
        <v>43</v>
      </c>
      <c r="C12" s="2" t="s">
        <v>44</v>
      </c>
      <c r="D12" t="s">
        <v>13</v>
      </c>
      <c r="E12" t="s">
        <v>10</v>
      </c>
      <c r="F12" s="2" t="s">
        <v>45</v>
      </c>
      <c r="G12" t="s">
        <v>271</v>
      </c>
      <c r="H12" t="s">
        <v>272</v>
      </c>
    </row>
    <row r="13" spans="1:12" ht="252" x14ac:dyDescent="0.3">
      <c r="A13">
        <v>20</v>
      </c>
      <c r="B13" s="1" t="s">
        <v>48</v>
      </c>
      <c r="C13" s="2" t="s">
        <v>46</v>
      </c>
      <c r="D13" t="s">
        <v>12</v>
      </c>
      <c r="E13" t="s">
        <v>10</v>
      </c>
      <c r="F13" s="2" t="s">
        <v>47</v>
      </c>
      <c r="G13" t="s">
        <v>272</v>
      </c>
      <c r="H13" t="s">
        <v>271</v>
      </c>
    </row>
    <row r="14" spans="1:12" ht="266" x14ac:dyDescent="0.3">
      <c r="A14">
        <v>21</v>
      </c>
      <c r="B14" s="1" t="s">
        <v>49</v>
      </c>
      <c r="C14" s="2" t="s">
        <v>50</v>
      </c>
      <c r="D14" t="s">
        <v>12</v>
      </c>
      <c r="E14" t="s">
        <v>10</v>
      </c>
      <c r="F14" s="2" t="s">
        <v>51</v>
      </c>
      <c r="G14" t="s">
        <v>271</v>
      </c>
      <c r="H14" t="s">
        <v>271</v>
      </c>
    </row>
    <row r="15" spans="1:12" ht="266" x14ac:dyDescent="0.3">
      <c r="A15">
        <v>23</v>
      </c>
      <c r="B15" t="s">
        <v>52</v>
      </c>
      <c r="C15" s="2" t="s">
        <v>50</v>
      </c>
      <c r="D15" t="s">
        <v>12</v>
      </c>
      <c r="E15" t="s">
        <v>10</v>
      </c>
      <c r="F15" s="2" t="s">
        <v>51</v>
      </c>
      <c r="G15" t="s">
        <v>271</v>
      </c>
      <c r="H15" t="s">
        <v>272</v>
      </c>
    </row>
    <row r="16" spans="1:12" ht="168" x14ac:dyDescent="0.3">
      <c r="A16">
        <v>28</v>
      </c>
      <c r="B16" t="s">
        <v>53</v>
      </c>
      <c r="C16" s="2" t="s">
        <v>54</v>
      </c>
      <c r="D16" t="s">
        <v>13</v>
      </c>
      <c r="E16" t="s">
        <v>11</v>
      </c>
      <c r="F16" s="2" t="s">
        <v>55</v>
      </c>
      <c r="G16" t="s">
        <v>271</v>
      </c>
      <c r="H16" t="s">
        <v>272</v>
      </c>
    </row>
    <row r="17" spans="1:8" ht="252" x14ac:dyDescent="0.3">
      <c r="A17">
        <v>30</v>
      </c>
      <c r="B17" s="1" t="s">
        <v>56</v>
      </c>
      <c r="C17" s="2" t="s">
        <v>57</v>
      </c>
      <c r="D17" t="s">
        <v>12</v>
      </c>
      <c r="E17" t="s">
        <v>24</v>
      </c>
      <c r="F17" s="2" t="s">
        <v>58</v>
      </c>
      <c r="G17" t="s">
        <v>272</v>
      </c>
      <c r="H17" t="s">
        <v>272</v>
      </c>
    </row>
    <row r="18" spans="1:8" ht="196" x14ac:dyDescent="0.3">
      <c r="A18">
        <v>36</v>
      </c>
      <c r="B18" s="1" t="s">
        <v>59</v>
      </c>
      <c r="C18" s="2" t="s">
        <v>60</v>
      </c>
      <c r="D18" t="s">
        <v>13</v>
      </c>
      <c r="E18" t="s">
        <v>11</v>
      </c>
      <c r="F18" s="2" t="s">
        <v>61</v>
      </c>
      <c r="G18" t="s">
        <v>271</v>
      </c>
      <c r="H18" t="s">
        <v>271</v>
      </c>
    </row>
    <row r="19" spans="1:8" ht="210" x14ac:dyDescent="0.3">
      <c r="A19">
        <v>42</v>
      </c>
      <c r="B19" s="1" t="s">
        <v>62</v>
      </c>
      <c r="C19" s="2" t="s">
        <v>63</v>
      </c>
      <c r="D19" t="s">
        <v>12</v>
      </c>
      <c r="E19" t="s">
        <v>10</v>
      </c>
      <c r="F19" s="2" t="s">
        <v>64</v>
      </c>
      <c r="G19" s="3" t="s">
        <v>271</v>
      </c>
      <c r="H19" t="s">
        <v>271</v>
      </c>
    </row>
    <row r="20" spans="1:8" ht="168" x14ac:dyDescent="0.3">
      <c r="A20">
        <v>43</v>
      </c>
      <c r="B20" t="s">
        <v>65</v>
      </c>
      <c r="C20" s="2" t="s">
        <v>66</v>
      </c>
      <c r="D20" t="s">
        <v>7</v>
      </c>
      <c r="E20" t="s">
        <v>10</v>
      </c>
      <c r="F20" s="2" t="s">
        <v>67</v>
      </c>
      <c r="G20" t="s">
        <v>271</v>
      </c>
      <c r="H20" t="s">
        <v>272</v>
      </c>
    </row>
    <row r="21" spans="1:8" ht="126" x14ac:dyDescent="0.3">
      <c r="A21">
        <v>44</v>
      </c>
      <c r="B21" s="1" t="s">
        <v>68</v>
      </c>
      <c r="C21" s="2" t="s">
        <v>69</v>
      </c>
      <c r="D21" t="s">
        <v>7</v>
      </c>
      <c r="E21" t="s">
        <v>11</v>
      </c>
      <c r="F21" s="2" t="s">
        <v>70</v>
      </c>
      <c r="G21" t="s">
        <v>271</v>
      </c>
      <c r="H21" t="s">
        <v>272</v>
      </c>
    </row>
    <row r="22" spans="1:8" ht="252" x14ac:dyDescent="0.3">
      <c r="A22">
        <v>56</v>
      </c>
      <c r="B22" s="1" t="s">
        <v>71</v>
      </c>
      <c r="C22" s="2" t="s">
        <v>72</v>
      </c>
      <c r="D22" t="s">
        <v>13</v>
      </c>
      <c r="E22" t="s">
        <v>11</v>
      </c>
      <c r="F22" s="2" t="s">
        <v>73</v>
      </c>
      <c r="G22" t="s">
        <v>272</v>
      </c>
      <c r="H22" t="s">
        <v>272</v>
      </c>
    </row>
    <row r="23" spans="1:8" ht="238" x14ac:dyDescent="0.3">
      <c r="A23">
        <v>57</v>
      </c>
      <c r="B23" s="1" t="s">
        <v>74</v>
      </c>
      <c r="C23" s="2" t="s">
        <v>75</v>
      </c>
      <c r="D23" t="s">
        <v>7</v>
      </c>
      <c r="E23" t="s">
        <v>10</v>
      </c>
      <c r="F23" s="2" t="s">
        <v>76</v>
      </c>
      <c r="G23" t="s">
        <v>272</v>
      </c>
      <c r="H23" t="s">
        <v>271</v>
      </c>
    </row>
    <row r="24" spans="1:8" ht="154" x14ac:dyDescent="0.3">
      <c r="A24">
        <v>58</v>
      </c>
      <c r="B24" s="1" t="s">
        <v>71</v>
      </c>
      <c r="C24" s="2" t="s">
        <v>77</v>
      </c>
      <c r="D24" t="s">
        <v>13</v>
      </c>
      <c r="E24" t="s">
        <v>11</v>
      </c>
      <c r="F24" s="2" t="s">
        <v>78</v>
      </c>
      <c r="G24" t="s">
        <v>271</v>
      </c>
      <c r="H24" t="s">
        <v>272</v>
      </c>
    </row>
    <row r="25" spans="1:8" ht="168" x14ac:dyDescent="0.3">
      <c r="A25">
        <v>60</v>
      </c>
      <c r="B25" s="1" t="s">
        <v>79</v>
      </c>
      <c r="C25" s="2" t="s">
        <v>80</v>
      </c>
      <c r="D25" t="s">
        <v>8</v>
      </c>
      <c r="E25" t="s">
        <v>11</v>
      </c>
      <c r="F25" s="2" t="s">
        <v>81</v>
      </c>
      <c r="G25" t="s">
        <v>271</v>
      </c>
      <c r="H25" t="s">
        <v>272</v>
      </c>
    </row>
    <row r="26" spans="1:8" ht="182" x14ac:dyDescent="0.3">
      <c r="A26">
        <v>61</v>
      </c>
      <c r="B26" s="1" t="s">
        <v>71</v>
      </c>
      <c r="C26" s="2" t="s">
        <v>82</v>
      </c>
      <c r="D26" t="s">
        <v>8</v>
      </c>
      <c r="E26" t="s">
        <v>25</v>
      </c>
      <c r="F26" s="2" t="s">
        <v>83</v>
      </c>
      <c r="G26" t="s">
        <v>271</v>
      </c>
      <c r="H26" t="s">
        <v>271</v>
      </c>
    </row>
    <row r="27" spans="1:8" ht="140" x14ac:dyDescent="0.3">
      <c r="A27">
        <v>65</v>
      </c>
      <c r="B27" s="1" t="s">
        <v>84</v>
      </c>
      <c r="C27" s="2" t="s">
        <v>85</v>
      </c>
      <c r="D27" t="s">
        <v>8</v>
      </c>
      <c r="E27" t="s">
        <v>11</v>
      </c>
      <c r="F27" s="2" t="s">
        <v>86</v>
      </c>
      <c r="G27" s="3" t="s">
        <v>271</v>
      </c>
      <c r="H27" t="s">
        <v>271</v>
      </c>
    </row>
    <row r="28" spans="1:8" ht="238" x14ac:dyDescent="0.3">
      <c r="A28">
        <v>67</v>
      </c>
      <c r="B28" s="1" t="s">
        <v>87</v>
      </c>
      <c r="C28" s="2" t="s">
        <v>88</v>
      </c>
      <c r="D28" t="s">
        <v>8</v>
      </c>
      <c r="E28" t="s">
        <v>11</v>
      </c>
      <c r="F28" s="2" t="s">
        <v>89</v>
      </c>
      <c r="G28" s="3" t="s">
        <v>271</v>
      </c>
      <c r="H28" t="s">
        <v>271</v>
      </c>
    </row>
    <row r="29" spans="1:8" ht="168" x14ac:dyDescent="0.3">
      <c r="A29">
        <v>69</v>
      </c>
      <c r="B29" s="1" t="s">
        <v>90</v>
      </c>
      <c r="C29" s="2" t="s">
        <v>91</v>
      </c>
      <c r="D29" t="s">
        <v>8</v>
      </c>
      <c r="E29" t="s">
        <v>25</v>
      </c>
      <c r="F29" s="2" t="s">
        <v>92</v>
      </c>
      <c r="G29" s="3" t="s">
        <v>272</v>
      </c>
      <c r="H29" t="s">
        <v>272</v>
      </c>
    </row>
    <row r="30" spans="1:8" ht="196" x14ac:dyDescent="0.3">
      <c r="A30">
        <v>70</v>
      </c>
      <c r="B30" s="1" t="s">
        <v>93</v>
      </c>
      <c r="C30" s="2" t="s">
        <v>94</v>
      </c>
      <c r="D30" t="s">
        <v>8</v>
      </c>
      <c r="E30" t="s">
        <v>11</v>
      </c>
      <c r="F30" s="2" t="s">
        <v>95</v>
      </c>
      <c r="G30" s="3" t="s">
        <v>271</v>
      </c>
      <c r="H30" t="s">
        <v>271</v>
      </c>
    </row>
    <row r="31" spans="1:8" ht="140" x14ac:dyDescent="0.3">
      <c r="A31">
        <v>72</v>
      </c>
      <c r="B31" s="1" t="s">
        <v>96</v>
      </c>
      <c r="C31" s="2" t="s">
        <v>97</v>
      </c>
      <c r="D31" t="s">
        <v>8</v>
      </c>
      <c r="E31" t="s">
        <v>25</v>
      </c>
      <c r="F31" s="2" t="s">
        <v>98</v>
      </c>
      <c r="G31" s="3" t="s">
        <v>272</v>
      </c>
      <c r="H31" t="s">
        <v>271</v>
      </c>
    </row>
    <row r="32" spans="1:8" ht="98" x14ac:dyDescent="0.3">
      <c r="A32">
        <v>80</v>
      </c>
      <c r="B32" s="1" t="s">
        <v>99</v>
      </c>
      <c r="C32" s="2" t="s">
        <v>100</v>
      </c>
      <c r="D32" t="s">
        <v>13</v>
      </c>
      <c r="E32" t="s">
        <v>25</v>
      </c>
      <c r="F32" s="2" t="s">
        <v>101</v>
      </c>
      <c r="G32" s="3" t="s">
        <v>272</v>
      </c>
      <c r="H32" t="s">
        <v>271</v>
      </c>
    </row>
    <row r="33" spans="1:8" ht="224" x14ac:dyDescent="0.3">
      <c r="A33">
        <v>103</v>
      </c>
      <c r="B33" s="1" t="s">
        <v>102</v>
      </c>
      <c r="C33" s="2" t="s">
        <v>103</v>
      </c>
      <c r="D33" t="s">
        <v>13</v>
      </c>
      <c r="E33" t="s">
        <v>25</v>
      </c>
      <c r="F33" s="2" t="s">
        <v>104</v>
      </c>
      <c r="G33" s="3" t="s">
        <v>272</v>
      </c>
      <c r="H33" t="s">
        <v>271</v>
      </c>
    </row>
    <row r="34" spans="1:8" ht="168" x14ac:dyDescent="0.3">
      <c r="A34">
        <v>107</v>
      </c>
      <c r="B34" s="1" t="s">
        <v>105</v>
      </c>
      <c r="C34" s="2" t="s">
        <v>106</v>
      </c>
      <c r="D34" t="s">
        <v>8</v>
      </c>
      <c r="E34" t="s">
        <v>25</v>
      </c>
      <c r="F34" s="2" t="s">
        <v>107</v>
      </c>
      <c r="G34" s="3" t="s">
        <v>272</v>
      </c>
      <c r="H34" t="s">
        <v>271</v>
      </c>
    </row>
    <row r="35" spans="1:8" ht="182" x14ac:dyDescent="0.3">
      <c r="A35">
        <v>108</v>
      </c>
      <c r="B35" s="1" t="s">
        <v>108</v>
      </c>
      <c r="C35" s="2" t="s">
        <v>109</v>
      </c>
      <c r="D35" t="s">
        <v>8</v>
      </c>
      <c r="E35" t="s">
        <v>11</v>
      </c>
      <c r="F35" s="2" t="s">
        <v>110</v>
      </c>
      <c r="G35" s="3" t="s">
        <v>271</v>
      </c>
      <c r="H35" t="s">
        <v>271</v>
      </c>
    </row>
    <row r="36" spans="1:8" ht="182" x14ac:dyDescent="0.3">
      <c r="A36">
        <v>109</v>
      </c>
      <c r="B36" s="1" t="s">
        <v>111</v>
      </c>
      <c r="C36" s="2" t="s">
        <v>112</v>
      </c>
      <c r="D36" t="s">
        <v>13</v>
      </c>
      <c r="E36" t="s">
        <v>11</v>
      </c>
      <c r="F36" s="2" t="s">
        <v>113</v>
      </c>
      <c r="G36" s="3" t="s">
        <v>271</v>
      </c>
      <c r="H36" t="s">
        <v>272</v>
      </c>
    </row>
    <row r="37" spans="1:8" ht="182" x14ac:dyDescent="0.3">
      <c r="A37">
        <v>130</v>
      </c>
      <c r="B37" s="1" t="s">
        <v>114</v>
      </c>
      <c r="C37" s="2" t="s">
        <v>115</v>
      </c>
      <c r="D37" t="s">
        <v>13</v>
      </c>
      <c r="E37" t="s">
        <v>11</v>
      </c>
      <c r="F37" s="2" t="s">
        <v>116</v>
      </c>
      <c r="G37" s="3" t="s">
        <v>271</v>
      </c>
      <c r="H37" t="s">
        <v>271</v>
      </c>
    </row>
    <row r="38" spans="1:8" ht="168" x14ac:dyDescent="0.3">
      <c r="A38">
        <v>133</v>
      </c>
      <c r="B38" s="1" t="s">
        <v>117</v>
      </c>
      <c r="C38" s="2" t="s">
        <v>118</v>
      </c>
      <c r="D38" t="s">
        <v>13</v>
      </c>
      <c r="E38" t="s">
        <v>11</v>
      </c>
      <c r="F38" s="2" t="s">
        <v>119</v>
      </c>
      <c r="G38" s="3" t="s">
        <v>271</v>
      </c>
      <c r="H38" t="s">
        <v>272</v>
      </c>
    </row>
    <row r="39" spans="1:8" ht="168" x14ac:dyDescent="0.3">
      <c r="A39">
        <v>137</v>
      </c>
      <c r="B39" s="1" t="s">
        <v>120</v>
      </c>
      <c r="C39" s="2" t="s">
        <v>121</v>
      </c>
      <c r="D39" t="s">
        <v>12</v>
      </c>
      <c r="E39" t="s">
        <v>25</v>
      </c>
      <c r="F39" s="2" t="s">
        <v>122</v>
      </c>
      <c r="G39" s="3" t="s">
        <v>272</v>
      </c>
      <c r="H39" t="s">
        <v>272</v>
      </c>
    </row>
    <row r="40" spans="1:8" ht="140" x14ac:dyDescent="0.3">
      <c r="A40">
        <v>138</v>
      </c>
      <c r="B40" s="1" t="s">
        <v>123</v>
      </c>
      <c r="C40" s="2" t="s">
        <v>124</v>
      </c>
      <c r="D40" t="s">
        <v>12</v>
      </c>
      <c r="E40" t="s">
        <v>10</v>
      </c>
      <c r="F40" s="2" t="s">
        <v>125</v>
      </c>
      <c r="G40" s="3" t="s">
        <v>271</v>
      </c>
      <c r="H40" t="s">
        <v>272</v>
      </c>
    </row>
    <row r="41" spans="1:8" ht="140" x14ac:dyDescent="0.3">
      <c r="A41">
        <v>139</v>
      </c>
      <c r="B41" s="1" t="s">
        <v>126</v>
      </c>
      <c r="C41" s="2" t="s">
        <v>127</v>
      </c>
      <c r="D41" t="s">
        <v>8</v>
      </c>
      <c r="E41" t="s">
        <v>11</v>
      </c>
      <c r="F41" s="2" t="s">
        <v>128</v>
      </c>
      <c r="G41" s="3" t="s">
        <v>271</v>
      </c>
      <c r="H41" t="s">
        <v>272</v>
      </c>
    </row>
    <row r="42" spans="1:8" ht="140" x14ac:dyDescent="0.3">
      <c r="A42">
        <v>140</v>
      </c>
      <c r="B42" s="1" t="s">
        <v>129</v>
      </c>
      <c r="C42" s="2" t="s">
        <v>130</v>
      </c>
      <c r="D42" t="s">
        <v>8</v>
      </c>
      <c r="E42" t="s">
        <v>11</v>
      </c>
      <c r="F42" s="2" t="s">
        <v>131</v>
      </c>
      <c r="G42" s="3" t="s">
        <v>271</v>
      </c>
      <c r="H42" t="s">
        <v>272</v>
      </c>
    </row>
    <row r="43" spans="1:8" ht="252" x14ac:dyDescent="0.3">
      <c r="A43">
        <v>143</v>
      </c>
      <c r="B43" s="1" t="s">
        <v>132</v>
      </c>
      <c r="C43" s="2" t="s">
        <v>133</v>
      </c>
      <c r="D43" t="s">
        <v>8</v>
      </c>
      <c r="E43" t="s">
        <v>25</v>
      </c>
      <c r="F43" s="2" t="s">
        <v>134</v>
      </c>
      <c r="G43" s="3" t="s">
        <v>272</v>
      </c>
      <c r="H43" t="s">
        <v>271</v>
      </c>
    </row>
    <row r="44" spans="1:8" ht="224" x14ac:dyDescent="0.3">
      <c r="A44">
        <v>144</v>
      </c>
      <c r="B44" s="1" t="s">
        <v>135</v>
      </c>
      <c r="C44" s="2" t="s">
        <v>136</v>
      </c>
      <c r="D44" t="s">
        <v>13</v>
      </c>
      <c r="E44" t="s">
        <v>11</v>
      </c>
      <c r="F44" s="2" t="s">
        <v>137</v>
      </c>
      <c r="G44" s="3" t="s">
        <v>272</v>
      </c>
      <c r="H44" t="s">
        <v>272</v>
      </c>
    </row>
    <row r="45" spans="1:8" ht="210" x14ac:dyDescent="0.3">
      <c r="A45">
        <v>147</v>
      </c>
      <c r="B45" s="1" t="s">
        <v>138</v>
      </c>
      <c r="C45" s="2" t="s">
        <v>139</v>
      </c>
      <c r="D45" t="s">
        <v>8</v>
      </c>
      <c r="E45" t="s">
        <v>11</v>
      </c>
      <c r="F45" s="2" t="s">
        <v>140</v>
      </c>
      <c r="G45" s="3" t="s">
        <v>271</v>
      </c>
      <c r="H45" s="3" t="s">
        <v>272</v>
      </c>
    </row>
    <row r="46" spans="1:8" ht="168" x14ac:dyDescent="0.3">
      <c r="A46">
        <v>153</v>
      </c>
      <c r="B46" s="1" t="s">
        <v>141</v>
      </c>
      <c r="C46" s="2" t="s">
        <v>142</v>
      </c>
      <c r="D46" t="s">
        <v>12</v>
      </c>
      <c r="E46" t="s">
        <v>10</v>
      </c>
      <c r="F46" s="2" t="s">
        <v>143</v>
      </c>
      <c r="G46" s="3" t="s">
        <v>271</v>
      </c>
      <c r="H46" t="s">
        <v>272</v>
      </c>
    </row>
    <row r="47" spans="1:8" ht="182" x14ac:dyDescent="0.3">
      <c r="A47">
        <v>156</v>
      </c>
      <c r="B47" s="1" t="s">
        <v>144</v>
      </c>
      <c r="C47" s="2" t="s">
        <v>145</v>
      </c>
      <c r="D47" t="s">
        <v>13</v>
      </c>
      <c r="E47" t="s">
        <v>11</v>
      </c>
      <c r="F47" s="2" t="s">
        <v>146</v>
      </c>
      <c r="G47" s="3" t="s">
        <v>272</v>
      </c>
      <c r="H47" t="s">
        <v>271</v>
      </c>
    </row>
    <row r="48" spans="1:8" ht="168" x14ac:dyDescent="0.3">
      <c r="A48">
        <v>157</v>
      </c>
      <c r="B48" s="1" t="s">
        <v>147</v>
      </c>
      <c r="C48" s="2" t="s">
        <v>148</v>
      </c>
      <c r="D48" t="s">
        <v>13</v>
      </c>
      <c r="E48" t="s">
        <v>11</v>
      </c>
      <c r="F48" s="2" t="s">
        <v>149</v>
      </c>
      <c r="G48" s="3" t="s">
        <v>272</v>
      </c>
      <c r="H48" t="s">
        <v>272</v>
      </c>
    </row>
    <row r="49" spans="1:8" ht="154" x14ac:dyDescent="0.3">
      <c r="A49">
        <v>162</v>
      </c>
      <c r="B49" t="s">
        <v>150</v>
      </c>
      <c r="C49" s="2" t="s">
        <v>151</v>
      </c>
      <c r="D49" t="s">
        <v>13</v>
      </c>
      <c r="E49" t="s">
        <v>25</v>
      </c>
      <c r="F49" s="2" t="s">
        <v>152</v>
      </c>
      <c r="G49" s="3" t="s">
        <v>272</v>
      </c>
      <c r="H49" t="s">
        <v>271</v>
      </c>
    </row>
    <row r="50" spans="1:8" ht="168" x14ac:dyDescent="0.3">
      <c r="A50">
        <v>163</v>
      </c>
      <c r="B50" s="1" t="s">
        <v>153</v>
      </c>
      <c r="C50" s="2" t="s">
        <v>154</v>
      </c>
      <c r="D50" t="s">
        <v>8</v>
      </c>
      <c r="E50" t="s">
        <v>11</v>
      </c>
      <c r="F50" s="2" t="s">
        <v>155</v>
      </c>
      <c r="G50" s="3" t="s">
        <v>271</v>
      </c>
      <c r="H50" t="s">
        <v>272</v>
      </c>
    </row>
    <row r="51" spans="1:8" ht="210" x14ac:dyDescent="0.3">
      <c r="A51">
        <v>169</v>
      </c>
      <c r="B51" s="1" t="s">
        <v>156</v>
      </c>
      <c r="C51" s="2" t="s">
        <v>157</v>
      </c>
      <c r="D51" t="s">
        <v>13</v>
      </c>
      <c r="E51" t="s">
        <v>25</v>
      </c>
      <c r="F51" s="2" t="s">
        <v>158</v>
      </c>
      <c r="G51" s="3" t="s">
        <v>272</v>
      </c>
      <c r="H51" t="s">
        <v>271</v>
      </c>
    </row>
    <row r="52" spans="1:8" ht="280" x14ac:dyDescent="0.3">
      <c r="A52">
        <v>171</v>
      </c>
      <c r="B52" s="1" t="s">
        <v>159</v>
      </c>
      <c r="C52" s="2" t="s">
        <v>160</v>
      </c>
      <c r="D52" t="s">
        <v>8</v>
      </c>
      <c r="E52" t="s">
        <v>11</v>
      </c>
      <c r="F52" s="2" t="s">
        <v>161</v>
      </c>
      <c r="G52" s="3" t="s">
        <v>272</v>
      </c>
      <c r="H52" t="s">
        <v>272</v>
      </c>
    </row>
    <row r="53" spans="1:8" ht="126" x14ac:dyDescent="0.3">
      <c r="A53">
        <v>175</v>
      </c>
      <c r="B53" s="1" t="s">
        <v>162</v>
      </c>
      <c r="C53" s="2" t="s">
        <v>163</v>
      </c>
      <c r="D53" t="s">
        <v>13</v>
      </c>
      <c r="E53" t="s">
        <v>11</v>
      </c>
      <c r="F53" s="2" t="s">
        <v>164</v>
      </c>
      <c r="G53" t="s">
        <v>271</v>
      </c>
      <c r="H53" t="s">
        <v>271</v>
      </c>
    </row>
    <row r="54" spans="1:8" ht="196" x14ac:dyDescent="0.3">
      <c r="A54">
        <v>176</v>
      </c>
      <c r="B54" s="1" t="s">
        <v>165</v>
      </c>
      <c r="C54" s="2" t="s">
        <v>166</v>
      </c>
      <c r="D54" t="s">
        <v>13</v>
      </c>
      <c r="E54" t="s">
        <v>11</v>
      </c>
      <c r="F54" s="2" t="s">
        <v>167</v>
      </c>
      <c r="G54" s="3" t="s">
        <v>271</v>
      </c>
      <c r="H54" t="s">
        <v>271</v>
      </c>
    </row>
    <row r="55" spans="1:8" ht="252" x14ac:dyDescent="0.3">
      <c r="A55">
        <v>185</v>
      </c>
      <c r="B55" s="1" t="s">
        <v>168</v>
      </c>
      <c r="C55" s="2" t="s">
        <v>169</v>
      </c>
      <c r="D55" t="s">
        <v>13</v>
      </c>
      <c r="E55" t="s">
        <v>25</v>
      </c>
      <c r="F55" s="2" t="s">
        <v>170</v>
      </c>
      <c r="G55" s="3" t="s">
        <v>271</v>
      </c>
      <c r="H55" s="3" t="s">
        <v>271</v>
      </c>
    </row>
    <row r="56" spans="1:8" ht="140" x14ac:dyDescent="0.3">
      <c r="A56">
        <v>188</v>
      </c>
      <c r="B56" s="1" t="s">
        <v>171</v>
      </c>
      <c r="C56" s="2" t="s">
        <v>172</v>
      </c>
      <c r="D56" t="s">
        <v>13</v>
      </c>
      <c r="E56" t="s">
        <v>25</v>
      </c>
      <c r="F56" s="2" t="s">
        <v>173</v>
      </c>
      <c r="G56" s="3" t="s">
        <v>272</v>
      </c>
      <c r="H56" t="s">
        <v>271</v>
      </c>
    </row>
    <row r="57" spans="1:8" ht="168" x14ac:dyDescent="0.3">
      <c r="A57">
        <v>189</v>
      </c>
      <c r="B57" s="1" t="s">
        <v>174</v>
      </c>
      <c r="C57" s="2" t="s">
        <v>175</v>
      </c>
      <c r="D57" t="s">
        <v>13</v>
      </c>
      <c r="E57" t="s">
        <v>11</v>
      </c>
      <c r="F57" s="2" t="s">
        <v>176</v>
      </c>
      <c r="G57" s="3" t="s">
        <v>271</v>
      </c>
      <c r="H57" t="s">
        <v>272</v>
      </c>
    </row>
    <row r="58" spans="1:8" ht="168" x14ac:dyDescent="0.3">
      <c r="A58">
        <v>194</v>
      </c>
      <c r="B58" s="1" t="s">
        <v>177</v>
      </c>
      <c r="C58" s="2" t="s">
        <v>178</v>
      </c>
      <c r="D58" t="s">
        <v>13</v>
      </c>
      <c r="E58" t="s">
        <v>11</v>
      </c>
      <c r="F58" s="2" t="s">
        <v>179</v>
      </c>
      <c r="G58" s="3" t="s">
        <v>271</v>
      </c>
      <c r="H58" t="s">
        <v>272</v>
      </c>
    </row>
    <row r="59" spans="1:8" ht="238" x14ac:dyDescent="0.3">
      <c r="A59">
        <v>195</v>
      </c>
      <c r="B59" s="1" t="s">
        <v>180</v>
      </c>
      <c r="C59" s="2" t="s">
        <v>181</v>
      </c>
      <c r="D59" t="s">
        <v>8</v>
      </c>
      <c r="E59" t="s">
        <v>11</v>
      </c>
      <c r="F59" s="2" t="s">
        <v>182</v>
      </c>
      <c r="G59" s="3" t="s">
        <v>271</v>
      </c>
      <c r="H59" t="s">
        <v>272</v>
      </c>
    </row>
    <row r="60" spans="1:8" ht="182" x14ac:dyDescent="0.3">
      <c r="A60">
        <v>198</v>
      </c>
      <c r="B60" s="1" t="s">
        <v>183</v>
      </c>
      <c r="C60" s="2" t="s">
        <v>184</v>
      </c>
      <c r="D60" t="s">
        <v>8</v>
      </c>
      <c r="E60" t="s">
        <v>11</v>
      </c>
      <c r="F60" s="2" t="s">
        <v>185</v>
      </c>
      <c r="G60" s="3" t="s">
        <v>271</v>
      </c>
      <c r="H60" t="s">
        <v>272</v>
      </c>
    </row>
    <row r="61" spans="1:8" ht="168" x14ac:dyDescent="0.3">
      <c r="A61">
        <v>201</v>
      </c>
      <c r="B61" s="1" t="s">
        <v>186</v>
      </c>
      <c r="C61" s="2" t="s">
        <v>187</v>
      </c>
      <c r="D61" t="s">
        <v>8</v>
      </c>
      <c r="E61" t="s">
        <v>11</v>
      </c>
      <c r="F61" s="2" t="s">
        <v>188</v>
      </c>
      <c r="G61" s="3" t="s">
        <v>271</v>
      </c>
      <c r="H61" t="s">
        <v>272</v>
      </c>
    </row>
    <row r="62" spans="1:8" ht="168" x14ac:dyDescent="0.3">
      <c r="A62">
        <v>202</v>
      </c>
      <c r="B62" s="1" t="s">
        <v>189</v>
      </c>
      <c r="C62" s="2" t="s">
        <v>190</v>
      </c>
      <c r="D62" t="s">
        <v>8</v>
      </c>
      <c r="E62" t="s">
        <v>11</v>
      </c>
      <c r="F62" s="2" t="s">
        <v>191</v>
      </c>
      <c r="G62" s="3" t="s">
        <v>271</v>
      </c>
      <c r="H62" t="s">
        <v>272</v>
      </c>
    </row>
    <row r="63" spans="1:8" ht="168" x14ac:dyDescent="0.3">
      <c r="A63">
        <v>213</v>
      </c>
      <c r="B63" s="1" t="s">
        <v>192</v>
      </c>
      <c r="C63" s="2" t="s">
        <v>193</v>
      </c>
      <c r="D63" t="s">
        <v>13</v>
      </c>
      <c r="E63" t="s">
        <v>11</v>
      </c>
      <c r="F63" s="2" t="s">
        <v>194</v>
      </c>
      <c r="G63" s="3" t="s">
        <v>271</v>
      </c>
      <c r="H63" t="s">
        <v>272</v>
      </c>
    </row>
    <row r="64" spans="1:8" ht="168" x14ac:dyDescent="0.3">
      <c r="A64">
        <v>214</v>
      </c>
      <c r="B64" s="1" t="s">
        <v>198</v>
      </c>
      <c r="C64" s="2" t="s">
        <v>199</v>
      </c>
      <c r="D64" t="s">
        <v>13</v>
      </c>
      <c r="E64" t="s">
        <v>11</v>
      </c>
      <c r="F64" s="2" t="s">
        <v>200</v>
      </c>
      <c r="G64" s="3" t="s">
        <v>271</v>
      </c>
      <c r="H64" t="s">
        <v>271</v>
      </c>
    </row>
    <row r="65" spans="1:8" ht="280" x14ac:dyDescent="0.3">
      <c r="A65">
        <v>216</v>
      </c>
      <c r="B65" s="1" t="s">
        <v>195</v>
      </c>
      <c r="C65" s="2" t="s">
        <v>196</v>
      </c>
      <c r="D65" t="s">
        <v>13</v>
      </c>
      <c r="E65" t="s">
        <v>10</v>
      </c>
      <c r="F65" s="2" t="s">
        <v>197</v>
      </c>
      <c r="G65" s="3" t="s">
        <v>271</v>
      </c>
      <c r="H65" t="s">
        <v>271</v>
      </c>
    </row>
    <row r="66" spans="1:8" ht="140" x14ac:dyDescent="0.3">
      <c r="A66">
        <v>218</v>
      </c>
      <c r="B66" s="1" t="s">
        <v>201</v>
      </c>
      <c r="C66" s="2" t="s">
        <v>202</v>
      </c>
      <c r="D66" t="s">
        <v>8</v>
      </c>
      <c r="E66" t="s">
        <v>11</v>
      </c>
      <c r="F66" s="2" t="s">
        <v>203</v>
      </c>
      <c r="G66" s="3" t="s">
        <v>271</v>
      </c>
      <c r="H66" t="s">
        <v>272</v>
      </c>
    </row>
    <row r="67" spans="1:8" ht="140" x14ac:dyDescent="0.3">
      <c r="A67">
        <v>230</v>
      </c>
      <c r="B67" s="1" t="s">
        <v>204</v>
      </c>
      <c r="C67" s="2" t="s">
        <v>206</v>
      </c>
      <c r="D67" t="s">
        <v>8</v>
      </c>
      <c r="E67" t="s">
        <v>11</v>
      </c>
      <c r="F67" s="2" t="s">
        <v>207</v>
      </c>
      <c r="G67" s="3" t="s">
        <v>272</v>
      </c>
      <c r="H67" t="s">
        <v>272</v>
      </c>
    </row>
    <row r="68" spans="1:8" ht="224" x14ac:dyDescent="0.3">
      <c r="A68">
        <v>234</v>
      </c>
      <c r="B68" s="1" t="s">
        <v>205</v>
      </c>
      <c r="C68" s="2" t="s">
        <v>208</v>
      </c>
      <c r="D68" t="s">
        <v>8</v>
      </c>
      <c r="E68" t="s">
        <v>11</v>
      </c>
      <c r="F68" s="2" t="s">
        <v>209</v>
      </c>
      <c r="G68" s="3" t="s">
        <v>271</v>
      </c>
      <c r="H68" t="s">
        <v>272</v>
      </c>
    </row>
    <row r="69" spans="1:8" ht="140" x14ac:dyDescent="0.3">
      <c r="A69">
        <v>237</v>
      </c>
      <c r="B69" s="1" t="s">
        <v>210</v>
      </c>
      <c r="C69" s="2" t="s">
        <v>212</v>
      </c>
      <c r="D69" t="s">
        <v>8</v>
      </c>
      <c r="E69" t="s">
        <v>25</v>
      </c>
      <c r="F69" s="2" t="s">
        <v>213</v>
      </c>
      <c r="G69" s="3" t="s">
        <v>271</v>
      </c>
      <c r="H69" t="s">
        <v>272</v>
      </c>
    </row>
    <row r="70" spans="1:8" ht="168" x14ac:dyDescent="0.3">
      <c r="A70">
        <v>239</v>
      </c>
      <c r="B70" s="1" t="s">
        <v>211</v>
      </c>
      <c r="C70" s="2" t="s">
        <v>215</v>
      </c>
      <c r="D70" t="s">
        <v>13</v>
      </c>
      <c r="E70" t="s">
        <v>25</v>
      </c>
      <c r="F70" s="2" t="s">
        <v>216</v>
      </c>
      <c r="G70" s="3" t="s">
        <v>272</v>
      </c>
      <c r="H70" t="s">
        <v>271</v>
      </c>
    </row>
    <row r="71" spans="1:8" ht="168" x14ac:dyDescent="0.3">
      <c r="A71">
        <v>240</v>
      </c>
      <c r="B71" s="1" t="s">
        <v>214</v>
      </c>
      <c r="C71" s="2" t="s">
        <v>217</v>
      </c>
      <c r="D71" t="s">
        <v>13</v>
      </c>
      <c r="E71" t="s">
        <v>24</v>
      </c>
      <c r="F71" s="2" t="s">
        <v>218</v>
      </c>
      <c r="G71" s="3" t="s">
        <v>272</v>
      </c>
      <c r="H71" s="3" t="s">
        <v>271</v>
      </c>
    </row>
    <row r="72" spans="1:8" ht="168" x14ac:dyDescent="0.3">
      <c r="A72">
        <v>241</v>
      </c>
      <c r="B72" s="1" t="s">
        <v>214</v>
      </c>
      <c r="C72" s="2" t="s">
        <v>219</v>
      </c>
      <c r="D72" t="s">
        <v>13</v>
      </c>
      <c r="E72" t="s">
        <v>11</v>
      </c>
      <c r="F72" s="2" t="s">
        <v>220</v>
      </c>
      <c r="G72" s="3" t="s">
        <v>271</v>
      </c>
      <c r="H72" t="s">
        <v>272</v>
      </c>
    </row>
    <row r="73" spans="1:8" ht="168" x14ac:dyDescent="0.3">
      <c r="A73">
        <v>242</v>
      </c>
      <c r="B73" s="1" t="s">
        <v>211</v>
      </c>
      <c r="C73" s="2" t="s">
        <v>221</v>
      </c>
      <c r="D73" t="s">
        <v>13</v>
      </c>
      <c r="E73" t="s">
        <v>25</v>
      </c>
      <c r="F73" s="2" t="s">
        <v>222</v>
      </c>
      <c r="G73" s="3" t="s">
        <v>272</v>
      </c>
      <c r="H73" t="s">
        <v>271</v>
      </c>
    </row>
    <row r="74" spans="1:8" ht="140" x14ac:dyDescent="0.3">
      <c r="A74">
        <v>247</v>
      </c>
      <c r="B74" s="1" t="s">
        <v>223</v>
      </c>
      <c r="C74" s="2" t="s">
        <v>224</v>
      </c>
      <c r="D74" t="s">
        <v>8</v>
      </c>
      <c r="E74" t="s">
        <v>11</v>
      </c>
      <c r="F74" s="2" t="s">
        <v>225</v>
      </c>
      <c r="G74" s="3" t="s">
        <v>271</v>
      </c>
      <c r="H74" t="s">
        <v>272</v>
      </c>
    </row>
    <row r="75" spans="1:8" ht="140" x14ac:dyDescent="0.3">
      <c r="A75">
        <v>248</v>
      </c>
      <c r="B75" t="s">
        <v>226</v>
      </c>
      <c r="C75" s="2" t="s">
        <v>224</v>
      </c>
      <c r="D75" t="s">
        <v>7</v>
      </c>
      <c r="E75" t="s">
        <v>10</v>
      </c>
      <c r="F75" s="2" t="s">
        <v>225</v>
      </c>
      <c r="G75" s="3" t="s">
        <v>271</v>
      </c>
      <c r="H75" t="s">
        <v>272</v>
      </c>
    </row>
    <row r="76" spans="1:8" ht="182" x14ac:dyDescent="0.3">
      <c r="A76">
        <v>249</v>
      </c>
      <c r="B76" t="s">
        <v>227</v>
      </c>
      <c r="C76" s="2" t="s">
        <v>228</v>
      </c>
      <c r="D76" t="s">
        <v>8</v>
      </c>
      <c r="E76" t="s">
        <v>11</v>
      </c>
      <c r="F76" s="2" t="s">
        <v>229</v>
      </c>
      <c r="G76" s="3" t="s">
        <v>272</v>
      </c>
      <c r="H76" t="s">
        <v>271</v>
      </c>
    </row>
    <row r="77" spans="1:8" ht="140" x14ac:dyDescent="0.3">
      <c r="A77">
        <v>254</v>
      </c>
      <c r="B77" s="1" t="s">
        <v>233</v>
      </c>
      <c r="C77" s="2" t="s">
        <v>230</v>
      </c>
      <c r="D77" t="s">
        <v>13</v>
      </c>
      <c r="E77" t="s">
        <v>11</v>
      </c>
      <c r="F77" s="2" t="s">
        <v>231</v>
      </c>
      <c r="G77" s="3" t="s">
        <v>271</v>
      </c>
      <c r="H77" t="s">
        <v>272</v>
      </c>
    </row>
    <row r="78" spans="1:8" ht="140" x14ac:dyDescent="0.3">
      <c r="A78">
        <v>255</v>
      </c>
      <c r="B78" s="1" t="s">
        <v>232</v>
      </c>
      <c r="C78" s="2" t="s">
        <v>234</v>
      </c>
      <c r="D78" t="s">
        <v>13</v>
      </c>
      <c r="E78" t="s">
        <v>25</v>
      </c>
      <c r="F78" s="2" t="s">
        <v>235</v>
      </c>
      <c r="G78" s="3" t="s">
        <v>272</v>
      </c>
      <c r="H78" t="s">
        <v>271</v>
      </c>
    </row>
    <row r="79" spans="1:8" ht="154" x14ac:dyDescent="0.3">
      <c r="A79">
        <v>258</v>
      </c>
      <c r="B79" s="1" t="s">
        <v>237</v>
      </c>
      <c r="C79" s="2" t="s">
        <v>236</v>
      </c>
      <c r="D79" t="s">
        <v>13</v>
      </c>
      <c r="E79" t="s">
        <v>11</v>
      </c>
      <c r="F79" s="2" t="s">
        <v>238</v>
      </c>
      <c r="G79" s="3" t="s">
        <v>271</v>
      </c>
      <c r="H79" t="s">
        <v>272</v>
      </c>
    </row>
    <row r="80" spans="1:8" ht="154" x14ac:dyDescent="0.3">
      <c r="A80">
        <v>259</v>
      </c>
      <c r="B80" s="1" t="s">
        <v>239</v>
      </c>
      <c r="C80" s="2" t="s">
        <v>240</v>
      </c>
      <c r="D80" t="s">
        <v>13</v>
      </c>
      <c r="E80" t="s">
        <v>25</v>
      </c>
      <c r="F80" s="2" t="s">
        <v>241</v>
      </c>
      <c r="G80" s="3" t="s">
        <v>272</v>
      </c>
      <c r="H80" t="s">
        <v>271</v>
      </c>
    </row>
    <row r="81" spans="1:8" ht="154" x14ac:dyDescent="0.3">
      <c r="A81">
        <v>268</v>
      </c>
      <c r="B81" s="1" t="s">
        <v>242</v>
      </c>
      <c r="C81" s="2" t="s">
        <v>243</v>
      </c>
      <c r="D81" t="s">
        <v>13</v>
      </c>
      <c r="E81" t="s">
        <v>11</v>
      </c>
      <c r="F81" s="2" t="s">
        <v>244</v>
      </c>
      <c r="G81" s="3" t="s">
        <v>271</v>
      </c>
      <c r="H81" t="s">
        <v>272</v>
      </c>
    </row>
    <row r="82" spans="1:8" ht="168" x14ac:dyDescent="0.3">
      <c r="A82">
        <v>270</v>
      </c>
      <c r="B82" s="1" t="s">
        <v>247</v>
      </c>
      <c r="C82" s="2" t="s">
        <v>245</v>
      </c>
      <c r="D82" t="s">
        <v>13</v>
      </c>
      <c r="E82" t="s">
        <v>11</v>
      </c>
      <c r="F82" s="2" t="s">
        <v>246</v>
      </c>
      <c r="G82" s="3" t="s">
        <v>271</v>
      </c>
      <c r="H82" t="s">
        <v>271</v>
      </c>
    </row>
    <row r="83" spans="1:8" ht="210" x14ac:dyDescent="0.3">
      <c r="A83">
        <v>284</v>
      </c>
      <c r="B83" s="1" t="s">
        <v>249</v>
      </c>
      <c r="C83" s="2" t="s">
        <v>248</v>
      </c>
      <c r="D83" t="s">
        <v>8</v>
      </c>
      <c r="E83" t="s">
        <v>10</v>
      </c>
      <c r="F83" s="2" t="s">
        <v>250</v>
      </c>
      <c r="G83" s="3" t="s">
        <v>271</v>
      </c>
      <c r="H83" t="s">
        <v>271</v>
      </c>
    </row>
    <row r="84" spans="1:8" ht="168" x14ac:dyDescent="0.3">
      <c r="A84">
        <v>285</v>
      </c>
      <c r="B84" t="s">
        <v>251</v>
      </c>
      <c r="C84" s="2" t="s">
        <v>252</v>
      </c>
      <c r="D84" t="s">
        <v>7</v>
      </c>
      <c r="E84" t="s">
        <v>10</v>
      </c>
      <c r="F84" s="2" t="s">
        <v>253</v>
      </c>
      <c r="G84" s="3" t="s">
        <v>271</v>
      </c>
      <c r="H84" t="s">
        <v>272</v>
      </c>
    </row>
    <row r="85" spans="1:8" ht="182" x14ac:dyDescent="0.3">
      <c r="A85">
        <v>289</v>
      </c>
      <c r="B85" s="1" t="s">
        <v>254</v>
      </c>
      <c r="C85" s="2" t="s">
        <v>255</v>
      </c>
      <c r="D85" t="s">
        <v>13</v>
      </c>
      <c r="E85" t="s">
        <v>25</v>
      </c>
      <c r="F85" s="2" t="s">
        <v>256</v>
      </c>
      <c r="G85" s="3" t="s">
        <v>271</v>
      </c>
      <c r="H85" t="s">
        <v>271</v>
      </c>
    </row>
    <row r="86" spans="1:8" ht="154" x14ac:dyDescent="0.3">
      <c r="A86">
        <v>303</v>
      </c>
      <c r="B86" t="s">
        <v>257</v>
      </c>
      <c r="C86" s="2" t="s">
        <v>258</v>
      </c>
      <c r="D86" t="s">
        <v>7</v>
      </c>
      <c r="E86" t="s">
        <v>10</v>
      </c>
      <c r="F86" s="2" t="s">
        <v>259</v>
      </c>
      <c r="G86" s="3" t="s">
        <v>271</v>
      </c>
      <c r="H86" t="s">
        <v>272</v>
      </c>
    </row>
    <row r="87" spans="1:8" ht="196" x14ac:dyDescent="0.3">
      <c r="A87">
        <v>304</v>
      </c>
      <c r="B87" t="s">
        <v>260</v>
      </c>
      <c r="C87" s="2" t="s">
        <v>261</v>
      </c>
      <c r="D87" t="s">
        <v>12</v>
      </c>
      <c r="E87" t="s">
        <v>10</v>
      </c>
      <c r="F87" s="2" t="s">
        <v>262</v>
      </c>
      <c r="G87" s="3" t="s">
        <v>271</v>
      </c>
      <c r="H87" t="s">
        <v>271</v>
      </c>
    </row>
    <row r="88" spans="1:8" ht="252" x14ac:dyDescent="0.3">
      <c r="A88">
        <v>313</v>
      </c>
      <c r="B88" t="s">
        <v>263</v>
      </c>
      <c r="C88" s="2" t="s">
        <v>264</v>
      </c>
      <c r="D88" t="s">
        <v>12</v>
      </c>
      <c r="E88" t="s">
        <v>24</v>
      </c>
      <c r="F88" s="2" t="s">
        <v>265</v>
      </c>
      <c r="G88" s="3" t="s">
        <v>271</v>
      </c>
      <c r="H88" t="s">
        <v>271</v>
      </c>
    </row>
    <row r="89" spans="1:8" ht="336" x14ac:dyDescent="0.3">
      <c r="A89">
        <v>316</v>
      </c>
      <c r="B89" s="1" t="s">
        <v>266</v>
      </c>
      <c r="C89" s="2" t="s">
        <v>267</v>
      </c>
      <c r="D89" t="s">
        <v>8</v>
      </c>
      <c r="E89" t="s">
        <v>25</v>
      </c>
      <c r="F89" s="2" t="s">
        <v>268</v>
      </c>
      <c r="G89" s="3" t="s">
        <v>272</v>
      </c>
      <c r="H89" t="s">
        <v>271</v>
      </c>
    </row>
    <row r="90" spans="1:8" ht="126" x14ac:dyDescent="0.3">
      <c r="A90">
        <v>317</v>
      </c>
      <c r="B90" t="s">
        <v>266</v>
      </c>
      <c r="C90" s="2" t="s">
        <v>269</v>
      </c>
      <c r="D90" t="s">
        <v>7</v>
      </c>
      <c r="E90" t="s">
        <v>24</v>
      </c>
      <c r="F90" s="2" t="s">
        <v>270</v>
      </c>
      <c r="G90" s="3" t="s">
        <v>272</v>
      </c>
      <c r="H90" t="s">
        <v>271</v>
      </c>
    </row>
    <row r="91" spans="1:8" x14ac:dyDescent="0.3">
      <c r="B91" t="s">
        <v>412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8E8F0-AB6E-40C3-A4E5-44AE98B84B2B}">
  <dimension ref="A1:L44"/>
  <sheetViews>
    <sheetView tabSelected="1" topLeftCell="B40" workbookViewId="0">
      <selection activeCell="L3" sqref="L3"/>
    </sheetView>
  </sheetViews>
  <sheetFormatPr defaultRowHeight="14" x14ac:dyDescent="0.3"/>
  <cols>
    <col min="1" max="1" width="4.83203125" customWidth="1"/>
    <col min="2" max="2" width="32.33203125" customWidth="1"/>
    <col min="3" max="3" width="80.5" customWidth="1"/>
    <col min="4" max="4" width="29.58203125" customWidth="1"/>
    <col min="5" max="5" width="9.75" customWidth="1"/>
    <col min="6" max="6" width="65.4140625" customWidth="1"/>
    <col min="7" max="7" width="16.4140625" customWidth="1"/>
    <col min="8" max="8" width="8.75" customWidth="1"/>
    <col min="9" max="9" width="20.4140625" customWidth="1"/>
    <col min="11" max="11" width="26.6640625" customWidth="1"/>
  </cols>
  <sheetData>
    <row r="1" spans="1:12" x14ac:dyDescent="0.3">
      <c r="A1" t="s">
        <v>5</v>
      </c>
      <c r="B1" t="s">
        <v>0</v>
      </c>
      <c r="C1" t="s">
        <v>1</v>
      </c>
      <c r="D1" t="s">
        <v>2</v>
      </c>
      <c r="E1" t="s">
        <v>9</v>
      </c>
      <c r="F1" t="s">
        <v>16</v>
      </c>
      <c r="G1" t="s">
        <v>3</v>
      </c>
      <c r="H1" t="s">
        <v>4</v>
      </c>
    </row>
    <row r="2" spans="1:12" ht="119.5" customHeight="1" x14ac:dyDescent="0.3">
      <c r="A2">
        <v>0</v>
      </c>
      <c r="B2" t="s">
        <v>276</v>
      </c>
      <c r="C2" s="2" t="s">
        <v>277</v>
      </c>
      <c r="D2" t="s">
        <v>7</v>
      </c>
      <c r="E2" t="s">
        <v>10</v>
      </c>
      <c r="F2" s="2" t="s">
        <v>278</v>
      </c>
      <c r="G2" t="s">
        <v>11</v>
      </c>
      <c r="H2" t="s">
        <v>25</v>
      </c>
      <c r="I2" t="s">
        <v>273</v>
      </c>
      <c r="J2">
        <f>COUNTIF(G2:G100,"yes")</f>
        <v>20</v>
      </c>
      <c r="K2" t="s">
        <v>407</v>
      </c>
      <c r="L2">
        <f>COUNTIF(E2:E100,"Yes")</f>
        <v>27</v>
      </c>
    </row>
    <row r="3" spans="1:12" ht="182" x14ac:dyDescent="0.3">
      <c r="A3">
        <v>7</v>
      </c>
      <c r="B3" t="s">
        <v>279</v>
      </c>
      <c r="C3" s="2" t="s">
        <v>280</v>
      </c>
      <c r="D3" t="s">
        <v>12</v>
      </c>
      <c r="E3" t="s">
        <v>24</v>
      </c>
      <c r="F3" s="2" t="s">
        <v>281</v>
      </c>
      <c r="G3" t="s">
        <v>11</v>
      </c>
      <c r="H3" t="s">
        <v>25</v>
      </c>
      <c r="I3" t="s">
        <v>274</v>
      </c>
      <c r="J3">
        <f>COUNTIF(G2:G100,"no")</f>
        <v>23</v>
      </c>
      <c r="K3" t="s">
        <v>408</v>
      </c>
      <c r="L3">
        <f>COUNTIF(E2:E100,"No")</f>
        <v>16</v>
      </c>
    </row>
    <row r="4" spans="1:12" ht="210" x14ac:dyDescent="0.3">
      <c r="A4">
        <v>8</v>
      </c>
      <c r="B4" t="s">
        <v>288</v>
      </c>
      <c r="C4" s="2" t="s">
        <v>282</v>
      </c>
      <c r="D4" t="s">
        <v>7</v>
      </c>
      <c r="E4" t="s">
        <v>24</v>
      </c>
      <c r="F4" s="2" t="s">
        <v>283</v>
      </c>
      <c r="G4" t="s">
        <v>25</v>
      </c>
      <c r="H4" t="s">
        <v>25</v>
      </c>
      <c r="I4" t="s">
        <v>275</v>
      </c>
      <c r="J4">
        <f>COUNTIF(H2:H100,"yes")</f>
        <v>20</v>
      </c>
      <c r="K4" t="s">
        <v>409</v>
      </c>
      <c r="L4">
        <f>COUNTIFS(E2:E100,"Yes",D2:D100,"Logical Mistakes")</f>
        <v>20</v>
      </c>
    </row>
    <row r="5" spans="1:12" ht="98" x14ac:dyDescent="0.3">
      <c r="A5">
        <v>10</v>
      </c>
      <c r="B5" t="s">
        <v>287</v>
      </c>
      <c r="C5" s="2" t="s">
        <v>284</v>
      </c>
      <c r="D5" t="s">
        <v>8</v>
      </c>
      <c r="E5" t="s">
        <v>24</v>
      </c>
      <c r="F5" s="2" t="s">
        <v>285</v>
      </c>
      <c r="G5" t="s">
        <v>25</v>
      </c>
      <c r="H5" t="s">
        <v>25</v>
      </c>
      <c r="I5" t="s">
        <v>274</v>
      </c>
      <c r="J5">
        <f>COUNTIF(H2:H100,"no")</f>
        <v>23</v>
      </c>
      <c r="K5" t="s">
        <v>410</v>
      </c>
      <c r="L5">
        <f>COUNTIFS(E2:E100,"No",D2:D100,"Logical Mistakes")</f>
        <v>12</v>
      </c>
    </row>
    <row r="6" spans="1:12" ht="126" x14ac:dyDescent="0.3">
      <c r="A6">
        <v>11</v>
      </c>
      <c r="B6" t="s">
        <v>286</v>
      </c>
      <c r="C6" s="2" t="s">
        <v>289</v>
      </c>
      <c r="D6" t="s">
        <v>7</v>
      </c>
      <c r="E6" t="s">
        <v>24</v>
      </c>
      <c r="F6" s="2" t="s">
        <v>290</v>
      </c>
      <c r="G6" t="s">
        <v>25</v>
      </c>
      <c r="H6" t="s">
        <v>11</v>
      </c>
      <c r="I6" t="s">
        <v>403</v>
      </c>
      <c r="J6">
        <f>COUNTIFS(E2:E100,"Yes", G2:G100,"Yes")</f>
        <v>15</v>
      </c>
      <c r="K6" t="s">
        <v>411</v>
      </c>
      <c r="L6">
        <f>COUNTIFS(E2:E100,"Yes",D2:D100,"Robustness Omissions")</f>
        <v>7</v>
      </c>
    </row>
    <row r="7" spans="1:12" ht="140" x14ac:dyDescent="0.3">
      <c r="A7">
        <v>12</v>
      </c>
      <c r="B7" t="s">
        <v>291</v>
      </c>
      <c r="C7" s="2" t="s">
        <v>292</v>
      </c>
      <c r="D7" t="s">
        <v>7</v>
      </c>
      <c r="E7" t="s">
        <v>24</v>
      </c>
      <c r="F7" s="2" t="s">
        <v>293</v>
      </c>
      <c r="G7" t="s">
        <v>11</v>
      </c>
      <c r="H7" t="s">
        <v>11</v>
      </c>
      <c r="I7" t="s">
        <v>404</v>
      </c>
      <c r="J7">
        <f>COUNTIFS(E2:E100,"No", G2:G100,"Yes")</f>
        <v>5</v>
      </c>
      <c r="K7" t="s">
        <v>411</v>
      </c>
      <c r="L7">
        <f>COUNTIFS(E2:E100,"No",D2:D100,"Robustness Omissions")</f>
        <v>4</v>
      </c>
    </row>
    <row r="8" spans="1:12" ht="224" x14ac:dyDescent="0.3">
      <c r="A8">
        <v>16</v>
      </c>
      <c r="B8" t="s">
        <v>294</v>
      </c>
      <c r="C8" s="2" t="s">
        <v>295</v>
      </c>
      <c r="D8" t="s">
        <v>13</v>
      </c>
      <c r="E8" t="s">
        <v>11</v>
      </c>
      <c r="F8" s="2" t="s">
        <v>296</v>
      </c>
      <c r="G8" t="s">
        <v>11</v>
      </c>
      <c r="H8" t="s">
        <v>25</v>
      </c>
      <c r="I8" t="s">
        <v>405</v>
      </c>
      <c r="J8">
        <f>COUNTIFS(E2:E100,"Yes", H2:H100,"Yes")</f>
        <v>9</v>
      </c>
    </row>
    <row r="9" spans="1:12" ht="238" x14ac:dyDescent="0.3">
      <c r="A9">
        <v>20</v>
      </c>
      <c r="B9" t="s">
        <v>299</v>
      </c>
      <c r="C9" s="2" t="s">
        <v>297</v>
      </c>
      <c r="D9" t="s">
        <v>12</v>
      </c>
      <c r="E9" t="s">
        <v>24</v>
      </c>
      <c r="F9" s="2" t="s">
        <v>298</v>
      </c>
      <c r="G9" t="s">
        <v>11</v>
      </c>
      <c r="H9" t="s">
        <v>11</v>
      </c>
      <c r="I9" t="s">
        <v>406</v>
      </c>
      <c r="J9">
        <f>COUNTIFS(E2:E100,"No", H2:H100,"Yes")</f>
        <v>11</v>
      </c>
    </row>
    <row r="10" spans="1:12" ht="224" x14ac:dyDescent="0.3">
      <c r="A10">
        <v>21</v>
      </c>
      <c r="B10" t="s">
        <v>300</v>
      </c>
      <c r="C10" s="2" t="s">
        <v>301</v>
      </c>
      <c r="D10" t="s">
        <v>12</v>
      </c>
      <c r="E10" t="s">
        <v>24</v>
      </c>
      <c r="F10" s="2" t="s">
        <v>302</v>
      </c>
      <c r="G10" t="s">
        <v>11</v>
      </c>
      <c r="H10" t="s">
        <v>11</v>
      </c>
    </row>
    <row r="11" spans="1:12" ht="154" x14ac:dyDescent="0.3">
      <c r="A11">
        <v>22</v>
      </c>
      <c r="B11" t="s">
        <v>305</v>
      </c>
      <c r="C11" s="2" t="s">
        <v>303</v>
      </c>
      <c r="D11" t="s">
        <v>13</v>
      </c>
      <c r="E11" t="s">
        <v>24</v>
      </c>
      <c r="F11" s="2" t="s">
        <v>304</v>
      </c>
      <c r="G11" t="s">
        <v>11</v>
      </c>
      <c r="H11" t="s">
        <v>11</v>
      </c>
    </row>
    <row r="12" spans="1:12" ht="294" x14ac:dyDescent="0.3">
      <c r="A12">
        <v>26</v>
      </c>
      <c r="B12" t="s">
        <v>310</v>
      </c>
      <c r="C12" s="2" t="s">
        <v>306</v>
      </c>
      <c r="D12" t="s">
        <v>12</v>
      </c>
      <c r="E12" t="s">
        <v>24</v>
      </c>
      <c r="F12" s="2" t="s">
        <v>307</v>
      </c>
      <c r="G12" t="s">
        <v>11</v>
      </c>
      <c r="H12" t="s">
        <v>11</v>
      </c>
    </row>
    <row r="13" spans="1:12" ht="224" x14ac:dyDescent="0.3">
      <c r="A13">
        <v>27</v>
      </c>
      <c r="B13" t="s">
        <v>309</v>
      </c>
      <c r="C13" s="2" t="s">
        <v>308</v>
      </c>
      <c r="D13" t="s">
        <v>13</v>
      </c>
      <c r="E13" t="s">
        <v>24</v>
      </c>
      <c r="F13" s="2" t="s">
        <v>311</v>
      </c>
      <c r="G13" t="s">
        <v>11</v>
      </c>
      <c r="H13" t="s">
        <v>11</v>
      </c>
    </row>
    <row r="14" spans="1:12" ht="140" x14ac:dyDescent="0.3">
      <c r="A14">
        <v>28</v>
      </c>
      <c r="B14" t="s">
        <v>312</v>
      </c>
      <c r="C14" s="2" t="s">
        <v>313</v>
      </c>
      <c r="D14" t="s">
        <v>12</v>
      </c>
      <c r="E14" t="s">
        <v>24</v>
      </c>
      <c r="F14" s="2" t="s">
        <v>314</v>
      </c>
      <c r="G14" t="s">
        <v>25</v>
      </c>
      <c r="H14" t="s">
        <v>25</v>
      </c>
    </row>
    <row r="15" spans="1:12" ht="252" x14ac:dyDescent="0.3">
      <c r="A15">
        <v>30</v>
      </c>
      <c r="B15" t="s">
        <v>316</v>
      </c>
      <c r="C15" s="2" t="s">
        <v>315</v>
      </c>
      <c r="D15" t="s">
        <v>12</v>
      </c>
      <c r="E15" t="s">
        <v>24</v>
      </c>
      <c r="F15" s="2" t="s">
        <v>317</v>
      </c>
      <c r="G15" t="s">
        <v>11</v>
      </c>
      <c r="H15" t="s">
        <v>25</v>
      </c>
    </row>
    <row r="16" spans="1:12" ht="196" x14ac:dyDescent="0.3">
      <c r="A16">
        <v>31</v>
      </c>
      <c r="B16" t="s">
        <v>318</v>
      </c>
      <c r="C16" s="2" t="s">
        <v>319</v>
      </c>
      <c r="D16" t="s">
        <v>12</v>
      </c>
      <c r="E16" t="s">
        <v>10</v>
      </c>
      <c r="F16" s="2" t="s">
        <v>320</v>
      </c>
      <c r="G16" t="s">
        <v>11</v>
      </c>
      <c r="H16" t="s">
        <v>25</v>
      </c>
    </row>
    <row r="17" spans="1:8" ht="168" x14ac:dyDescent="0.3">
      <c r="A17">
        <v>36</v>
      </c>
      <c r="B17" t="s">
        <v>324</v>
      </c>
      <c r="C17" s="2" t="s">
        <v>321</v>
      </c>
      <c r="D17" t="s">
        <v>12</v>
      </c>
      <c r="E17" t="s">
        <v>10</v>
      </c>
      <c r="F17" s="2" t="s">
        <v>322</v>
      </c>
      <c r="G17" t="s">
        <v>11</v>
      </c>
      <c r="H17" t="s">
        <v>25</v>
      </c>
    </row>
    <row r="18" spans="1:8" ht="126" x14ac:dyDescent="0.3">
      <c r="A18">
        <v>41</v>
      </c>
      <c r="B18" t="s">
        <v>323</v>
      </c>
      <c r="C18" s="2" t="s">
        <v>325</v>
      </c>
      <c r="D18" t="s">
        <v>12</v>
      </c>
      <c r="E18" t="s">
        <v>24</v>
      </c>
      <c r="F18" s="2" t="s">
        <v>326</v>
      </c>
      <c r="G18" t="s">
        <v>11</v>
      </c>
      <c r="H18" t="s">
        <v>11</v>
      </c>
    </row>
    <row r="19" spans="1:8" ht="126" x14ac:dyDescent="0.3">
      <c r="A19">
        <v>44</v>
      </c>
      <c r="B19" t="s">
        <v>332</v>
      </c>
      <c r="C19" s="2" t="s">
        <v>327</v>
      </c>
      <c r="D19" t="s">
        <v>7</v>
      </c>
      <c r="E19" t="s">
        <v>10</v>
      </c>
      <c r="F19" s="2" t="s">
        <v>328</v>
      </c>
      <c r="G19" t="s">
        <v>11</v>
      </c>
      <c r="H19" t="s">
        <v>25</v>
      </c>
    </row>
    <row r="20" spans="1:8" ht="140" x14ac:dyDescent="0.3">
      <c r="A20">
        <v>58</v>
      </c>
      <c r="B20" t="s">
        <v>331</v>
      </c>
      <c r="C20" s="2" t="s">
        <v>329</v>
      </c>
      <c r="D20" t="s">
        <v>12</v>
      </c>
      <c r="E20" t="s">
        <v>24</v>
      </c>
      <c r="F20" s="2" t="s">
        <v>330</v>
      </c>
      <c r="G20" t="s">
        <v>25</v>
      </c>
      <c r="H20" t="s">
        <v>25</v>
      </c>
    </row>
    <row r="21" spans="1:8" ht="196" x14ac:dyDescent="0.3">
      <c r="A21">
        <v>75</v>
      </c>
      <c r="B21" t="s">
        <v>331</v>
      </c>
      <c r="C21" s="2" t="s">
        <v>333</v>
      </c>
      <c r="D21" t="s">
        <v>12</v>
      </c>
      <c r="E21" t="s">
        <v>10</v>
      </c>
      <c r="F21" s="2" t="s">
        <v>334</v>
      </c>
      <c r="G21" t="s">
        <v>25</v>
      </c>
      <c r="H21" t="s">
        <v>25</v>
      </c>
    </row>
    <row r="22" spans="1:8" ht="252" x14ac:dyDescent="0.3">
      <c r="A22">
        <v>80</v>
      </c>
      <c r="B22" t="s">
        <v>337</v>
      </c>
      <c r="C22" s="2" t="s">
        <v>335</v>
      </c>
      <c r="D22" t="s">
        <v>12</v>
      </c>
      <c r="E22" t="s">
        <v>24</v>
      </c>
      <c r="F22" s="2" t="s">
        <v>336</v>
      </c>
      <c r="G22" t="s">
        <v>25</v>
      </c>
      <c r="H22" t="s">
        <v>11</v>
      </c>
    </row>
    <row r="23" spans="1:8" ht="224" x14ac:dyDescent="0.3">
      <c r="A23">
        <v>103</v>
      </c>
      <c r="B23" t="s">
        <v>341</v>
      </c>
      <c r="C23" s="2" t="s">
        <v>338</v>
      </c>
      <c r="D23" t="s">
        <v>12</v>
      </c>
      <c r="E23" t="s">
        <v>10</v>
      </c>
      <c r="F23" s="2" t="s">
        <v>339</v>
      </c>
      <c r="G23" t="s">
        <v>11</v>
      </c>
      <c r="H23" t="s">
        <v>11</v>
      </c>
    </row>
    <row r="24" spans="1:8" ht="140" x14ac:dyDescent="0.3">
      <c r="A24">
        <v>107</v>
      </c>
      <c r="B24" t="s">
        <v>340</v>
      </c>
      <c r="C24" s="2" t="s">
        <v>342</v>
      </c>
      <c r="D24" t="s">
        <v>7</v>
      </c>
      <c r="E24" t="s">
        <v>25</v>
      </c>
      <c r="F24" s="2" t="s">
        <v>343</v>
      </c>
      <c r="G24" t="s">
        <v>25</v>
      </c>
      <c r="H24" t="s">
        <v>11</v>
      </c>
    </row>
    <row r="25" spans="1:8" ht="196" x14ac:dyDescent="0.3">
      <c r="A25">
        <v>109</v>
      </c>
      <c r="B25" t="s">
        <v>346</v>
      </c>
      <c r="C25" s="2" t="s">
        <v>344</v>
      </c>
      <c r="D25" t="s">
        <v>12</v>
      </c>
      <c r="E25" t="s">
        <v>10</v>
      </c>
      <c r="F25" s="2" t="s">
        <v>345</v>
      </c>
      <c r="G25" t="s">
        <v>11</v>
      </c>
      <c r="H25" t="s">
        <v>11</v>
      </c>
    </row>
    <row r="26" spans="1:8" ht="154" x14ac:dyDescent="0.3">
      <c r="A26">
        <v>122</v>
      </c>
      <c r="B26" t="s">
        <v>350</v>
      </c>
      <c r="C26" s="2" t="s">
        <v>347</v>
      </c>
      <c r="D26" t="s">
        <v>12</v>
      </c>
      <c r="E26" t="s">
        <v>10</v>
      </c>
      <c r="F26" s="2" t="s">
        <v>348</v>
      </c>
      <c r="G26" t="s">
        <v>11</v>
      </c>
      <c r="H26" t="s">
        <v>11</v>
      </c>
    </row>
    <row r="27" spans="1:8" ht="126" x14ac:dyDescent="0.3">
      <c r="A27">
        <v>133</v>
      </c>
      <c r="B27" t="s">
        <v>349</v>
      </c>
      <c r="C27" s="2" t="s">
        <v>351</v>
      </c>
      <c r="D27" t="s">
        <v>12</v>
      </c>
      <c r="E27" t="s">
        <v>10</v>
      </c>
      <c r="F27" s="2" t="s">
        <v>352</v>
      </c>
      <c r="G27" t="s">
        <v>11</v>
      </c>
      <c r="H27" t="s">
        <v>25</v>
      </c>
    </row>
    <row r="28" spans="1:8" ht="196" x14ac:dyDescent="0.3">
      <c r="A28">
        <v>143</v>
      </c>
      <c r="B28" t="s">
        <v>353</v>
      </c>
      <c r="C28" s="2" t="s">
        <v>354</v>
      </c>
      <c r="D28" t="s">
        <v>7</v>
      </c>
      <c r="E28" t="s">
        <v>24</v>
      </c>
      <c r="F28" s="2" t="s">
        <v>355</v>
      </c>
      <c r="G28" t="s">
        <v>25</v>
      </c>
      <c r="H28" t="s">
        <v>11</v>
      </c>
    </row>
    <row r="29" spans="1:8" ht="210" x14ac:dyDescent="0.3">
      <c r="A29">
        <v>144</v>
      </c>
      <c r="B29" t="s">
        <v>356</v>
      </c>
      <c r="C29" s="2" t="s">
        <v>357</v>
      </c>
      <c r="D29" t="s">
        <v>12</v>
      </c>
      <c r="E29" t="s">
        <v>10</v>
      </c>
      <c r="F29" s="2" t="s">
        <v>358</v>
      </c>
      <c r="G29" t="s">
        <v>25</v>
      </c>
      <c r="H29" t="s">
        <v>25</v>
      </c>
    </row>
    <row r="30" spans="1:8" ht="182" x14ac:dyDescent="0.3">
      <c r="A30">
        <v>156</v>
      </c>
      <c r="B30" t="s">
        <v>359</v>
      </c>
      <c r="C30" s="2" t="s">
        <v>360</v>
      </c>
      <c r="D30" t="s">
        <v>12</v>
      </c>
      <c r="E30" t="s">
        <v>10</v>
      </c>
      <c r="F30" s="2" t="s">
        <v>361</v>
      </c>
      <c r="G30" t="s">
        <v>25</v>
      </c>
      <c r="H30" t="s">
        <v>11</v>
      </c>
    </row>
    <row r="31" spans="1:8" ht="112" x14ac:dyDescent="0.3">
      <c r="A31">
        <v>162</v>
      </c>
      <c r="B31" t="s">
        <v>362</v>
      </c>
      <c r="C31" s="2" t="s">
        <v>363</v>
      </c>
      <c r="D31" t="s">
        <v>7</v>
      </c>
      <c r="E31" t="s">
        <v>24</v>
      </c>
      <c r="F31" s="2" t="s">
        <v>364</v>
      </c>
      <c r="G31" t="s">
        <v>25</v>
      </c>
      <c r="H31" t="s">
        <v>11</v>
      </c>
    </row>
    <row r="32" spans="1:8" ht="238" x14ac:dyDescent="0.3">
      <c r="A32">
        <v>171</v>
      </c>
      <c r="B32" t="s">
        <v>365</v>
      </c>
      <c r="C32" s="2" t="s">
        <v>366</v>
      </c>
      <c r="D32" t="s">
        <v>7</v>
      </c>
      <c r="E32" t="s">
        <v>10</v>
      </c>
      <c r="F32" s="2" t="s">
        <v>367</v>
      </c>
      <c r="G32" t="s">
        <v>11</v>
      </c>
      <c r="H32" t="s">
        <v>25</v>
      </c>
    </row>
    <row r="33" spans="1:8" ht="140" x14ac:dyDescent="0.3">
      <c r="A33">
        <v>188</v>
      </c>
      <c r="B33" t="s">
        <v>368</v>
      </c>
      <c r="C33" s="2" t="s">
        <v>369</v>
      </c>
      <c r="D33" t="s">
        <v>7</v>
      </c>
      <c r="E33" t="s">
        <v>10</v>
      </c>
      <c r="F33" s="2" t="s">
        <v>370</v>
      </c>
      <c r="G33" t="s">
        <v>11</v>
      </c>
      <c r="H33" t="s">
        <v>25</v>
      </c>
    </row>
    <row r="34" spans="1:8" ht="196" x14ac:dyDescent="0.3">
      <c r="A34">
        <v>195</v>
      </c>
      <c r="B34" t="s">
        <v>371</v>
      </c>
      <c r="C34" s="2" t="s">
        <v>372</v>
      </c>
      <c r="D34" t="s">
        <v>12</v>
      </c>
      <c r="E34" t="s">
        <v>10</v>
      </c>
      <c r="F34" s="2" t="s">
        <v>373</v>
      </c>
      <c r="G34" t="s">
        <v>25</v>
      </c>
      <c r="H34" t="s">
        <v>25</v>
      </c>
    </row>
    <row r="35" spans="1:8" ht="112" x14ac:dyDescent="0.3">
      <c r="A35">
        <v>240</v>
      </c>
      <c r="B35" t="s">
        <v>376</v>
      </c>
      <c r="C35" s="2" t="s">
        <v>374</v>
      </c>
      <c r="D35" t="s">
        <v>12</v>
      </c>
      <c r="E35" t="s">
        <v>24</v>
      </c>
      <c r="F35" s="2" t="s">
        <v>375</v>
      </c>
      <c r="G35" t="s">
        <v>25</v>
      </c>
      <c r="H35" t="s">
        <v>11</v>
      </c>
    </row>
    <row r="36" spans="1:8" ht="112" x14ac:dyDescent="0.3">
      <c r="A36">
        <v>241</v>
      </c>
      <c r="B36" t="s">
        <v>376</v>
      </c>
      <c r="C36" s="2" t="s">
        <v>377</v>
      </c>
      <c r="D36" t="s">
        <v>12</v>
      </c>
      <c r="E36" t="s">
        <v>24</v>
      </c>
      <c r="F36" s="2" t="s">
        <v>378</v>
      </c>
      <c r="G36" t="s">
        <v>25</v>
      </c>
      <c r="H36" t="s">
        <v>11</v>
      </c>
    </row>
    <row r="37" spans="1:8" ht="140" x14ac:dyDescent="0.3">
      <c r="A37">
        <v>242</v>
      </c>
      <c r="B37" t="s">
        <v>379</v>
      </c>
      <c r="C37" s="2" t="s">
        <v>380</v>
      </c>
      <c r="D37" t="s">
        <v>12</v>
      </c>
      <c r="E37" t="s">
        <v>24</v>
      </c>
      <c r="F37" s="2" t="s">
        <v>381</v>
      </c>
      <c r="G37" t="s">
        <v>25</v>
      </c>
      <c r="H37" t="s">
        <v>11</v>
      </c>
    </row>
    <row r="38" spans="1:8" ht="112" x14ac:dyDescent="0.3">
      <c r="A38">
        <v>255</v>
      </c>
      <c r="B38" t="s">
        <v>382</v>
      </c>
      <c r="C38" s="2" t="s">
        <v>383</v>
      </c>
      <c r="D38" t="s">
        <v>12</v>
      </c>
      <c r="E38" t="s">
        <v>24</v>
      </c>
      <c r="F38" s="2" t="s">
        <v>384</v>
      </c>
      <c r="G38" t="s">
        <v>25</v>
      </c>
      <c r="H38" t="s">
        <v>11</v>
      </c>
    </row>
    <row r="39" spans="1:8" ht="210" x14ac:dyDescent="0.3">
      <c r="A39">
        <v>259</v>
      </c>
      <c r="B39" t="s">
        <v>389</v>
      </c>
      <c r="C39" s="2" t="s">
        <v>385</v>
      </c>
      <c r="D39" t="s">
        <v>12</v>
      </c>
      <c r="E39" t="s">
        <v>24</v>
      </c>
      <c r="F39" s="2" t="s">
        <v>386</v>
      </c>
      <c r="G39" t="s">
        <v>25</v>
      </c>
      <c r="H39" t="s">
        <v>25</v>
      </c>
    </row>
    <row r="40" spans="1:8" ht="196" x14ac:dyDescent="0.3">
      <c r="A40">
        <v>262</v>
      </c>
      <c r="B40" t="s">
        <v>387</v>
      </c>
      <c r="C40" s="2" t="s">
        <v>388</v>
      </c>
      <c r="D40" t="s">
        <v>12</v>
      </c>
      <c r="E40" t="s">
        <v>24</v>
      </c>
      <c r="F40" s="2" t="s">
        <v>390</v>
      </c>
      <c r="G40" t="s">
        <v>11</v>
      </c>
      <c r="H40" t="s">
        <v>11</v>
      </c>
    </row>
    <row r="41" spans="1:8" ht="168" x14ac:dyDescent="0.3">
      <c r="A41">
        <v>289</v>
      </c>
      <c r="B41" t="s">
        <v>391</v>
      </c>
      <c r="C41" s="2" t="s">
        <v>392</v>
      </c>
      <c r="D41" t="s">
        <v>12</v>
      </c>
      <c r="E41" t="s">
        <v>24</v>
      </c>
      <c r="F41" s="2" t="s">
        <v>393</v>
      </c>
      <c r="G41" t="s">
        <v>25</v>
      </c>
      <c r="H41" t="s">
        <v>25</v>
      </c>
    </row>
    <row r="42" spans="1:8" ht="98" x14ac:dyDescent="0.3">
      <c r="A42">
        <v>292</v>
      </c>
      <c r="B42" t="s">
        <v>394</v>
      </c>
      <c r="C42" s="2" t="s">
        <v>395</v>
      </c>
      <c r="D42" t="s">
        <v>12</v>
      </c>
      <c r="E42" t="s">
        <v>10</v>
      </c>
      <c r="F42" s="2" t="s">
        <v>396</v>
      </c>
      <c r="G42" t="s">
        <v>25</v>
      </c>
      <c r="H42" t="s">
        <v>11</v>
      </c>
    </row>
    <row r="43" spans="1:8" ht="140" x14ac:dyDescent="0.3">
      <c r="A43">
        <v>299</v>
      </c>
      <c r="B43" t="s">
        <v>397</v>
      </c>
      <c r="C43" s="2" t="s">
        <v>398</v>
      </c>
      <c r="D43" t="s">
        <v>12</v>
      </c>
      <c r="E43" t="s">
        <v>24</v>
      </c>
      <c r="F43" s="2" t="s">
        <v>399</v>
      </c>
      <c r="G43" t="s">
        <v>11</v>
      </c>
      <c r="H43" t="s">
        <v>11</v>
      </c>
    </row>
    <row r="44" spans="1:8" ht="238" x14ac:dyDescent="0.3">
      <c r="A44">
        <v>316</v>
      </c>
      <c r="B44" t="s">
        <v>400</v>
      </c>
      <c r="C44" s="2" t="s">
        <v>401</v>
      </c>
      <c r="D44" t="s">
        <v>12</v>
      </c>
      <c r="E44" t="s">
        <v>25</v>
      </c>
      <c r="F44" s="2" t="s">
        <v>402</v>
      </c>
      <c r="G44" t="s">
        <v>11</v>
      </c>
      <c r="H44" t="s">
        <v>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Junda Zhao</dc:creator>
  <cp:lastModifiedBy>Junda Zhao</cp:lastModifiedBy>
  <dcterms:created xsi:type="dcterms:W3CDTF">2026-01-14T02:02:26Z</dcterms:created>
  <dcterms:modified xsi:type="dcterms:W3CDTF">2026-01-28T14:38:35Z</dcterms:modified>
</cp:coreProperties>
</file>